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m41den/Downloads/pm/PmProject/phase1/"/>
    </mc:Choice>
  </mc:AlternateContent>
  <xr:revisionPtr revIDLastSave="0" documentId="13_ncr:1_{AB7AEC9D-8BC3-B44B-9246-1B40DA3B63E4}" xr6:coauthVersionLast="47" xr6:coauthVersionMax="47" xr10:uidLastSave="{00000000-0000-0000-0000-000000000000}"/>
  <bookViews>
    <workbookView xWindow="0" yWindow="660" windowWidth="29400" windowHeight="16980" activeTab="5" xr2:uid="{00000000-000D-0000-FFFF-FFFF00000000}"/>
  </bookViews>
  <sheets>
    <sheet name="Концепции и критерии" sheetId="1" r:id="rId1"/>
    <sheet name="Шкала" sheetId="2" r:id="rId2"/>
    <sheet name="Оценки экспертов" sheetId="3" r:id="rId3"/>
    <sheet name="Нечёткие оценки" sheetId="4" r:id="rId4"/>
    <sheet name="Расчёт" sheetId="5" r:id="rId5"/>
    <sheet name="Итог"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1" i="4" l="1"/>
  <c r="O31" i="4"/>
  <c r="N31" i="4"/>
  <c r="M31" i="4"/>
  <c r="L31" i="4"/>
  <c r="K31" i="4"/>
  <c r="J31" i="4"/>
  <c r="I31" i="4"/>
  <c r="H31" i="4"/>
  <c r="G31" i="4"/>
  <c r="F31" i="4"/>
  <c r="E31" i="4"/>
  <c r="D31" i="4"/>
  <c r="C31" i="4"/>
  <c r="B31" i="4"/>
  <c r="P30" i="4"/>
  <c r="O30" i="4"/>
  <c r="N30" i="4"/>
  <c r="M30" i="4"/>
  <c r="L30" i="4"/>
  <c r="K30" i="4"/>
  <c r="J30" i="4"/>
  <c r="I30" i="4"/>
  <c r="H30" i="4"/>
  <c r="G30" i="4"/>
  <c r="F30" i="4"/>
  <c r="E30" i="4"/>
  <c r="D30" i="4"/>
  <c r="C30" i="4"/>
  <c r="B30" i="4"/>
  <c r="P29" i="4"/>
  <c r="O29" i="4"/>
  <c r="N29" i="4"/>
  <c r="M29" i="4"/>
  <c r="L29" i="4"/>
  <c r="K29" i="4"/>
  <c r="J29" i="4"/>
  <c r="I29" i="4"/>
  <c r="H29" i="4"/>
  <c r="G29" i="4"/>
  <c r="F29" i="4"/>
  <c r="E29" i="4"/>
  <c r="D29" i="4"/>
  <c r="C29" i="4"/>
  <c r="B29" i="4"/>
  <c r="P28" i="4"/>
  <c r="O28" i="4"/>
  <c r="N28" i="4"/>
  <c r="M28" i="4"/>
  <c r="L28" i="4"/>
  <c r="K28" i="4"/>
  <c r="J28" i="4"/>
  <c r="I28" i="4"/>
  <c r="H28" i="4"/>
  <c r="G28" i="4"/>
  <c r="F28" i="4"/>
  <c r="E28" i="4"/>
  <c r="D28" i="4"/>
  <c r="C28" i="4"/>
  <c r="B28" i="4"/>
  <c r="P27" i="4"/>
  <c r="O27" i="4"/>
  <c r="N27" i="4"/>
  <c r="M27" i="4"/>
  <c r="L27" i="4"/>
  <c r="K27" i="4"/>
  <c r="J27" i="4"/>
  <c r="I27" i="4"/>
  <c r="H27" i="4"/>
  <c r="G27" i="4"/>
  <c r="F27" i="4"/>
  <c r="E27" i="4"/>
  <c r="D27" i="4"/>
  <c r="C27" i="4"/>
  <c r="B27" i="4"/>
  <c r="P26" i="4"/>
  <c r="O26" i="4"/>
  <c r="N26" i="4"/>
  <c r="M26" i="4"/>
  <c r="L26" i="4"/>
  <c r="K26" i="4"/>
  <c r="J26" i="4"/>
  <c r="I26" i="4"/>
  <c r="H26" i="4"/>
  <c r="G26" i="4"/>
  <c r="F26" i="4"/>
  <c r="E26" i="4"/>
  <c r="D26" i="4"/>
  <c r="C26" i="4"/>
  <c r="B26" i="4"/>
  <c r="P21" i="4"/>
  <c r="O21" i="4"/>
  <c r="N21" i="4"/>
  <c r="M21" i="4"/>
  <c r="L21" i="4"/>
  <c r="K21" i="4"/>
  <c r="J21" i="4"/>
  <c r="I21" i="4"/>
  <c r="H21" i="4"/>
  <c r="G21" i="4"/>
  <c r="F21" i="4"/>
  <c r="E21" i="4"/>
  <c r="D21" i="4"/>
  <c r="C21" i="4"/>
  <c r="B21" i="4"/>
  <c r="P20" i="4"/>
  <c r="O20" i="4"/>
  <c r="N20" i="4"/>
  <c r="M20" i="4"/>
  <c r="L20" i="4"/>
  <c r="K20" i="4"/>
  <c r="J20" i="4"/>
  <c r="I20" i="4"/>
  <c r="H20" i="4"/>
  <c r="G20" i="4"/>
  <c r="F20" i="4"/>
  <c r="E20" i="4"/>
  <c r="D20" i="4"/>
  <c r="C20" i="4"/>
  <c r="B20" i="4"/>
  <c r="P19" i="4"/>
  <c r="O19" i="4"/>
  <c r="N19" i="4"/>
  <c r="M19" i="4"/>
  <c r="L19" i="4"/>
  <c r="K19" i="4"/>
  <c r="J19" i="4"/>
  <c r="I19" i="4"/>
  <c r="H19" i="4"/>
  <c r="G19" i="4"/>
  <c r="F19" i="4"/>
  <c r="E19" i="4"/>
  <c r="D19" i="4"/>
  <c r="C19" i="4"/>
  <c r="B19" i="4"/>
  <c r="P18" i="4"/>
  <c r="O18" i="4"/>
  <c r="N18" i="4"/>
  <c r="M18" i="4"/>
  <c r="L18" i="4"/>
  <c r="K18" i="4"/>
  <c r="J18" i="4"/>
  <c r="I18" i="4"/>
  <c r="H18" i="4"/>
  <c r="G18" i="4"/>
  <c r="F18" i="4"/>
  <c r="E18" i="4"/>
  <c r="D18" i="4"/>
  <c r="C18" i="4"/>
  <c r="B18" i="4"/>
  <c r="P17" i="4"/>
  <c r="O17" i="4"/>
  <c r="N17" i="4"/>
  <c r="M17" i="4"/>
  <c r="L17" i="4"/>
  <c r="K17" i="4"/>
  <c r="J17" i="4"/>
  <c r="I17" i="4"/>
  <c r="H17" i="4"/>
  <c r="G17" i="4"/>
  <c r="F17" i="4"/>
  <c r="E17" i="4"/>
  <c r="D17" i="4"/>
  <c r="C17" i="4"/>
  <c r="B17" i="4"/>
  <c r="P16" i="4"/>
  <c r="O16" i="4"/>
  <c r="N16" i="4"/>
  <c r="M16" i="4"/>
  <c r="L16" i="4"/>
  <c r="K16" i="4"/>
  <c r="J16" i="4"/>
  <c r="I16" i="4"/>
  <c r="H16" i="4"/>
  <c r="G16" i="4"/>
  <c r="F16" i="4"/>
  <c r="E16" i="4"/>
  <c r="D16" i="4"/>
  <c r="C16" i="4"/>
  <c r="B16" i="4"/>
  <c r="P11" i="4"/>
  <c r="P9" i="5" s="1"/>
  <c r="O11" i="4"/>
  <c r="N11" i="4"/>
  <c r="M11" i="4"/>
  <c r="M9" i="5" s="1"/>
  <c r="L11" i="4"/>
  <c r="K11" i="4"/>
  <c r="J11" i="4"/>
  <c r="J9" i="5" s="1"/>
  <c r="I11" i="4"/>
  <c r="H11" i="4"/>
  <c r="H9" i="5" s="1"/>
  <c r="G11" i="4"/>
  <c r="F11" i="4"/>
  <c r="E11" i="4"/>
  <c r="E9" i="5" s="1"/>
  <c r="D11" i="4"/>
  <c r="C11" i="4"/>
  <c r="B11" i="4"/>
  <c r="B9" i="5" s="1"/>
  <c r="P10" i="4"/>
  <c r="P8" i="5" s="1"/>
  <c r="O10" i="4"/>
  <c r="O8" i="5" s="1"/>
  <c r="N10" i="4"/>
  <c r="M10" i="4"/>
  <c r="L10" i="4"/>
  <c r="L8" i="5" s="1"/>
  <c r="K10" i="4"/>
  <c r="J10" i="4"/>
  <c r="I10" i="4"/>
  <c r="I8" i="5" s="1"/>
  <c r="H10" i="4"/>
  <c r="H8" i="5" s="1"/>
  <c r="G10" i="4"/>
  <c r="G8" i="5" s="1"/>
  <c r="F10" i="4"/>
  <c r="E10" i="4"/>
  <c r="D10" i="4"/>
  <c r="D8" i="5" s="1"/>
  <c r="C10" i="4"/>
  <c r="B10" i="4"/>
  <c r="P9" i="4"/>
  <c r="P7" i="5" s="1"/>
  <c r="O9" i="4"/>
  <c r="O7" i="5" s="1"/>
  <c r="N9" i="4"/>
  <c r="N7" i="5" s="1"/>
  <c r="M9" i="4"/>
  <c r="L9" i="4"/>
  <c r="K9" i="4"/>
  <c r="K7" i="5" s="1"/>
  <c r="J9" i="4"/>
  <c r="I9" i="4"/>
  <c r="H9" i="4"/>
  <c r="H7" i="5" s="1"/>
  <c r="G9" i="4"/>
  <c r="G7" i="5" s="1"/>
  <c r="F9" i="4"/>
  <c r="F7" i="5" s="1"/>
  <c r="E9" i="4"/>
  <c r="D9" i="4"/>
  <c r="C9" i="4"/>
  <c r="C7" i="5" s="1"/>
  <c r="B9" i="4"/>
  <c r="P8" i="4"/>
  <c r="O8" i="4"/>
  <c r="O6" i="5" s="1"/>
  <c r="N8" i="4"/>
  <c r="N6" i="5" s="1"/>
  <c r="M8" i="4"/>
  <c r="M6" i="5" s="1"/>
  <c r="L8" i="4"/>
  <c r="K8" i="4"/>
  <c r="J8" i="4"/>
  <c r="J6" i="5" s="1"/>
  <c r="I8" i="4"/>
  <c r="H8" i="4"/>
  <c r="G8" i="4"/>
  <c r="G6" i="5" s="1"/>
  <c r="F8" i="4"/>
  <c r="F6" i="5" s="1"/>
  <c r="E8" i="4"/>
  <c r="E6" i="5" s="1"/>
  <c r="D8" i="4"/>
  <c r="C8" i="4"/>
  <c r="B8" i="4"/>
  <c r="B6" i="5" s="1"/>
  <c r="P7" i="4"/>
  <c r="O7" i="4"/>
  <c r="N7" i="4"/>
  <c r="N5" i="5" s="1"/>
  <c r="M7" i="4"/>
  <c r="M5" i="5" s="1"/>
  <c r="L7" i="4"/>
  <c r="L5" i="5" s="1"/>
  <c r="K7" i="4"/>
  <c r="J7" i="4"/>
  <c r="I7" i="4"/>
  <c r="I5" i="5" s="1"/>
  <c r="H7" i="4"/>
  <c r="G7" i="4"/>
  <c r="F7" i="4"/>
  <c r="F5" i="5" s="1"/>
  <c r="E7" i="4"/>
  <c r="E5" i="5" s="1"/>
  <c r="D7" i="4"/>
  <c r="D5" i="5" s="1"/>
  <c r="C7" i="4"/>
  <c r="B7" i="4"/>
  <c r="P6" i="4"/>
  <c r="P4" i="5" s="1"/>
  <c r="O6" i="4"/>
  <c r="N6" i="4"/>
  <c r="N4" i="5" s="1"/>
  <c r="M6" i="4"/>
  <c r="M4" i="5" s="1"/>
  <c r="L6" i="4"/>
  <c r="L4" i="5" s="1"/>
  <c r="K6" i="4"/>
  <c r="K4" i="5" s="1"/>
  <c r="J6" i="4"/>
  <c r="I6" i="4"/>
  <c r="H6" i="4"/>
  <c r="H4" i="5" s="1"/>
  <c r="G6" i="4"/>
  <c r="F6" i="4"/>
  <c r="F4" i="5" s="1"/>
  <c r="E6" i="4"/>
  <c r="E4" i="5" s="1"/>
  <c r="D6" i="4"/>
  <c r="D4" i="5" s="1"/>
  <c r="C6" i="4"/>
  <c r="C4" i="5" s="1"/>
  <c r="B6" i="4"/>
  <c r="E16" i="5" l="1"/>
  <c r="E25" i="5" s="1"/>
  <c r="I4" i="5"/>
  <c r="I14" i="5" s="1"/>
  <c r="I23" i="5" s="1"/>
  <c r="J5" i="5"/>
  <c r="H17" i="5" s="1"/>
  <c r="H26" i="5" s="1"/>
  <c r="C6" i="5"/>
  <c r="D7" i="5"/>
  <c r="M8" i="5"/>
  <c r="M18" i="5" s="1"/>
  <c r="M27" i="5" s="1"/>
  <c r="N9" i="5"/>
  <c r="B5" i="5"/>
  <c r="B15" i="5" s="1"/>
  <c r="B24" i="5" s="1"/>
  <c r="K6" i="5"/>
  <c r="K16" i="5" s="1"/>
  <c r="K25" i="5" s="1"/>
  <c r="L7" i="5"/>
  <c r="E8" i="5"/>
  <c r="F9" i="5"/>
  <c r="B4" i="5"/>
  <c r="B14" i="5" s="1"/>
  <c r="B23" i="5" s="1"/>
  <c r="J4" i="5"/>
  <c r="C5" i="5"/>
  <c r="K5" i="5"/>
  <c r="K15" i="5" s="1"/>
  <c r="K24" i="5" s="1"/>
  <c r="D6" i="5"/>
  <c r="C14" i="5" s="1"/>
  <c r="C23" i="5" s="1"/>
  <c r="L6" i="5"/>
  <c r="E7" i="5"/>
  <c r="M7" i="5"/>
  <c r="M15" i="5" s="1"/>
  <c r="M24" i="5" s="1"/>
  <c r="F8" i="5"/>
  <c r="F18" i="5" s="1"/>
  <c r="F27" i="5" s="1"/>
  <c r="N8" i="5"/>
  <c r="G9" i="5"/>
  <c r="O9" i="5"/>
  <c r="G18" i="5"/>
  <c r="G27" i="5" s="1"/>
  <c r="I9" i="5"/>
  <c r="F17" i="5"/>
  <c r="F26" i="5" s="1"/>
  <c r="G5" i="5"/>
  <c r="G15" i="5" s="1"/>
  <c r="G24" i="5" s="1"/>
  <c r="O5" i="5"/>
  <c r="H6" i="5"/>
  <c r="H16" i="5" s="1"/>
  <c r="H25" i="5" s="1"/>
  <c r="P6" i="5"/>
  <c r="I7" i="5"/>
  <c r="I17" i="5" s="1"/>
  <c r="I26" i="5" s="1"/>
  <c r="B8" i="5"/>
  <c r="B18" i="5" s="1"/>
  <c r="B27" i="5" s="1"/>
  <c r="J8" i="5"/>
  <c r="J18" i="5" s="1"/>
  <c r="J27" i="5" s="1"/>
  <c r="C9" i="5"/>
  <c r="K9" i="5"/>
  <c r="G4" i="5"/>
  <c r="F14" i="5" s="1"/>
  <c r="F23" i="5" s="1"/>
  <c r="O4" i="5"/>
  <c r="H5" i="5"/>
  <c r="P5" i="5"/>
  <c r="P18" i="5" s="1"/>
  <c r="P27" i="5" s="1"/>
  <c r="I6" i="5"/>
  <c r="I16" i="5" s="1"/>
  <c r="I25" i="5" s="1"/>
  <c r="B7" i="5"/>
  <c r="B17" i="5" s="1"/>
  <c r="B26" i="5" s="1"/>
  <c r="J7" i="5"/>
  <c r="C8" i="5"/>
  <c r="K8" i="5"/>
  <c r="K18" i="5" s="1"/>
  <c r="K27" i="5" s="1"/>
  <c r="D9" i="5"/>
  <c r="L9" i="5"/>
  <c r="G17" i="5"/>
  <c r="G26" i="5" s="1"/>
  <c r="O16" i="5"/>
  <c r="N14" i="5"/>
  <c r="O14" i="5"/>
  <c r="O23" i="5" s="1"/>
  <c r="L18" i="5"/>
  <c r="L27" i="5" s="1"/>
  <c r="L14" i="5"/>
  <c r="L23" i="5" s="1"/>
  <c r="G16" i="5"/>
  <c r="G25" i="5" s="1"/>
  <c r="P17" i="5"/>
  <c r="P26" i="5" s="1"/>
  <c r="H15" i="5"/>
  <c r="H24" i="5" s="1"/>
  <c r="P14" i="5"/>
  <c r="P23" i="5" s="1"/>
  <c r="I15" i="5"/>
  <c r="I24" i="5" s="1"/>
  <c r="K17" i="5"/>
  <c r="K26" i="5" s="1"/>
  <c r="D18" i="5"/>
  <c r="C16" i="5"/>
  <c r="C25" i="5" s="1"/>
  <c r="L17" i="5"/>
  <c r="L26" i="5" s="1"/>
  <c r="E18" i="5"/>
  <c r="E27" i="5" s="1"/>
  <c r="C15" i="5"/>
  <c r="C24" i="5" s="1"/>
  <c r="L16" i="5"/>
  <c r="L25" i="5" s="1"/>
  <c r="E17" i="5"/>
  <c r="E26" i="5" s="1"/>
  <c r="N18" i="5"/>
  <c r="N27" i="5" s="1"/>
  <c r="D14" i="5"/>
  <c r="D23" i="5" s="1"/>
  <c r="O15" i="5"/>
  <c r="O24" i="5" s="1"/>
  <c r="P16" i="5"/>
  <c r="P25" i="5" s="1"/>
  <c r="N15" i="5"/>
  <c r="I18" i="5"/>
  <c r="I27" i="5" s="1"/>
  <c r="P15" i="5"/>
  <c r="P24" i="5" s="1"/>
  <c r="C18" i="5"/>
  <c r="C27" i="5" s="1"/>
  <c r="J17" i="5" l="1"/>
  <c r="J26" i="5" s="1"/>
  <c r="J15" i="5"/>
  <c r="J24" i="5" s="1"/>
  <c r="N23" i="5"/>
  <c r="H14" i="5"/>
  <c r="H23" i="5" s="1"/>
  <c r="H29" i="5" s="1"/>
  <c r="M14" i="5"/>
  <c r="M23" i="5" s="1"/>
  <c r="M28" i="5" s="1"/>
  <c r="O25" i="5"/>
  <c r="N17" i="5"/>
  <c r="N26" i="5" s="1"/>
  <c r="O17" i="5"/>
  <c r="O26" i="5" s="1"/>
  <c r="O29" i="5" s="1"/>
  <c r="M17" i="5"/>
  <c r="M26" i="5" s="1"/>
  <c r="H18" i="5"/>
  <c r="H27" i="5" s="1"/>
  <c r="E14" i="5"/>
  <c r="E23" i="5" s="1"/>
  <c r="O18" i="5"/>
  <c r="O27" i="5" s="1"/>
  <c r="J14" i="5"/>
  <c r="J23" i="5" s="1"/>
  <c r="J29" i="5" s="1"/>
  <c r="H45" i="5" s="1"/>
  <c r="M16" i="5"/>
  <c r="M25" i="5" s="1"/>
  <c r="N16" i="5"/>
  <c r="N25" i="5" s="1"/>
  <c r="N28" i="5" s="1"/>
  <c r="C28" i="5"/>
  <c r="D27" i="5"/>
  <c r="N24" i="5"/>
  <c r="G14" i="5"/>
  <c r="G23" i="5" s="1"/>
  <c r="F16" i="5"/>
  <c r="F25" i="5" s="1"/>
  <c r="D15" i="5"/>
  <c r="D24" i="5" s="1"/>
  <c r="D29" i="5" s="1"/>
  <c r="B41" i="5" s="1"/>
  <c r="L15" i="5"/>
  <c r="L24" i="5" s="1"/>
  <c r="L29" i="5" s="1"/>
  <c r="D16" i="5"/>
  <c r="D25" i="5" s="1"/>
  <c r="D17" i="5"/>
  <c r="D26" i="5" s="1"/>
  <c r="C17" i="5"/>
  <c r="C26" i="5" s="1"/>
  <c r="C29" i="5" s="1"/>
  <c r="B16" i="5"/>
  <c r="B25" i="5" s="1"/>
  <c r="E15" i="5"/>
  <c r="E24" i="5" s="1"/>
  <c r="K14" i="5"/>
  <c r="K23" i="5" s="1"/>
  <c r="K28" i="5" s="1"/>
  <c r="F15" i="5"/>
  <c r="F24" i="5" s="1"/>
  <c r="F28" i="5" s="1"/>
  <c r="E36" i="5" s="1"/>
  <c r="J16" i="5"/>
  <c r="J25" i="5" s="1"/>
  <c r="G28" i="5"/>
  <c r="G29" i="5"/>
  <c r="E28" i="5"/>
  <c r="E29" i="5"/>
  <c r="J28" i="5"/>
  <c r="P28" i="5"/>
  <c r="P29" i="5"/>
  <c r="B28" i="5"/>
  <c r="B29" i="5"/>
  <c r="H28" i="5"/>
  <c r="H33" i="5" s="1"/>
  <c r="M29" i="5"/>
  <c r="I28" i="5"/>
  <c r="I29" i="5"/>
  <c r="H41" i="5" l="1"/>
  <c r="O28" i="5"/>
  <c r="N36" i="5" s="1"/>
  <c r="H37" i="5"/>
  <c r="E35" i="5"/>
  <c r="N29" i="5"/>
  <c r="N45" i="5" s="1"/>
  <c r="K29" i="5"/>
  <c r="K44" i="5" s="1"/>
  <c r="D28" i="5"/>
  <c r="B34" i="5" s="1"/>
  <c r="L28" i="5"/>
  <c r="B42" i="5"/>
  <c r="F29" i="5"/>
  <c r="E45" i="5" s="1"/>
  <c r="B43" i="5"/>
  <c r="H36" i="5"/>
  <c r="N44" i="5"/>
  <c r="H44" i="5"/>
  <c r="H43" i="5"/>
  <c r="H42" i="5"/>
  <c r="K41" i="5"/>
  <c r="N41" i="5"/>
  <c r="E33" i="5"/>
  <c r="H35" i="5"/>
  <c r="H34" i="5"/>
  <c r="K43" i="5"/>
  <c r="B44" i="5"/>
  <c r="K45" i="5"/>
  <c r="B45" i="5"/>
  <c r="K35" i="5"/>
  <c r="E34" i="5"/>
  <c r="K37" i="5"/>
  <c r="E37" i="5"/>
  <c r="B37" i="5" l="1"/>
  <c r="E42" i="5"/>
  <c r="B33" i="5"/>
  <c r="Q44" i="5"/>
  <c r="C7" i="6" s="1"/>
  <c r="N43" i="5"/>
  <c r="K33" i="5"/>
  <c r="Q33" i="5" s="1"/>
  <c r="B4" i="6" s="1"/>
  <c r="K36" i="5"/>
  <c r="B36" i="5"/>
  <c r="E41" i="5"/>
  <c r="Q41" i="5" s="1"/>
  <c r="C4" i="6" s="1"/>
  <c r="E43" i="5"/>
  <c r="Q43" i="5" s="1"/>
  <c r="C6" i="6" s="1"/>
  <c r="N37" i="5"/>
  <c r="Q37" i="5" s="1"/>
  <c r="B8" i="6" s="1"/>
  <c r="N35" i="5"/>
  <c r="N33" i="5"/>
  <c r="E44" i="5"/>
  <c r="K34" i="5"/>
  <c r="Q34" i="5" s="1"/>
  <c r="B5" i="6" s="1"/>
  <c r="N34" i="5"/>
  <c r="K42" i="5"/>
  <c r="Q42" i="5" s="1"/>
  <c r="C5" i="6" s="1"/>
  <c r="N42" i="5"/>
  <c r="B35" i="5"/>
  <c r="Q35" i="5" s="1"/>
  <c r="B6" i="6" s="1"/>
  <c r="Q45" i="5"/>
  <c r="C8" i="6" s="1"/>
  <c r="D6" i="6" l="1"/>
  <c r="D5" i="6"/>
  <c r="D4" i="6"/>
  <c r="Q36" i="5"/>
  <c r="B7" i="6" s="1"/>
  <c r="D7" i="6" s="1"/>
  <c r="D8" i="6"/>
  <c r="E7" i="6" l="1"/>
  <c r="E6" i="6"/>
  <c r="E4" i="6"/>
  <c r="E8" i="6"/>
  <c r="E5" i="6"/>
  <c r="B10" i="6"/>
</calcChain>
</file>

<file path=xl/sharedStrings.xml><?xml version="1.0" encoding="utf-8"?>
<sst xmlns="http://schemas.openxmlformats.org/spreadsheetml/2006/main" count="393" uniqueCount="73">
  <si>
    <t>Этап 6. Коэффициент относительной близости CCᵢ = d⁻ / (d⁺ + d⁻)</t>
  </si>
  <si>
    <t>Альтернатива</t>
  </si>
  <si>
    <t>d⁺</t>
  </si>
  <si>
    <t>d⁻</t>
  </si>
  <si>
    <t>CCᵢ</t>
  </si>
  <si>
    <t>Ранг</t>
  </si>
  <si>
    <t>Сплит</t>
  </si>
  <si>
    <t>Репетиторы</t>
  </si>
  <si>
    <t>Аудитории</t>
  </si>
  <si>
    <t>AR-гид</t>
  </si>
  <si>
    <t>Рецепты</t>
  </si>
  <si>
    <t>Лучшая концепция</t>
  </si>
  <si>
    <t>Чем ближе CCᵢ к 1, тем ближе альтернатива к идеально позитивному решению и дальше от идеально негативного.</t>
  </si>
  <si>
    <t>Фаза 1. Выбор концепции проекта — нечёткий коллективный TOPSIS</t>
  </si>
  <si>
    <t>№</t>
  </si>
  <si>
    <t>Короткое название</t>
  </si>
  <si>
    <t>Концепция проекта</t>
  </si>
  <si>
    <t>Веб-приложение для учёта и разделения общих расходов в группе (поездки, съёмная квартира, мероприятия)</t>
  </si>
  <si>
    <t>Онлайн-платформа поиска репетиторов с расписанием занятий и онлайн-оплатой</t>
  </si>
  <si>
    <t>Веб-сервис бронирования учебных аудиторий и переговорных комнат университета</t>
  </si>
  <si>
    <t>Мобильное приложение с AR-экскурсиями по историческому центру города</t>
  </si>
  <si>
    <t>Мобильное приложение подбора рецептов по имеющимся дома продуктам</t>
  </si>
  <si>
    <t>Критерий</t>
  </si>
  <si>
    <t>Что оценивается (все критерии — «чем больше, тем лучше»)</t>
  </si>
  <si>
    <t>K1</t>
  </si>
  <si>
    <t>Экономичность</t>
  </si>
  <si>
    <t>Затраты на разработку, инфраструктуру и сопровождение (чем выше оценка, тем дешевле проект)</t>
  </si>
  <si>
    <t>K2</t>
  </si>
  <si>
    <t>Актуальность</t>
  </si>
  <si>
    <t>Востребованность продукта у целевой аудитории в данный момент</t>
  </si>
  <si>
    <t>K3</t>
  </si>
  <si>
    <t>Потенциал развития</t>
  </si>
  <si>
    <t>Возможность масштабирования, добавления функций и монетизации</t>
  </si>
  <si>
    <t>K4</t>
  </si>
  <si>
    <t>Простота реализации</t>
  </si>
  <si>
    <t>Техническая сложность и время до работающего MVP</t>
  </si>
  <si>
    <t>K5</t>
  </si>
  <si>
    <t>Соответствие компетенциям</t>
  </si>
  <si>
    <t>Насколько стек технологий и предметная область знакомы команде</t>
  </si>
  <si>
    <t>Эксперт</t>
  </si>
  <si>
    <t>Роль в оценке</t>
  </si>
  <si>
    <t>Александр Ф.</t>
  </si>
  <si>
    <t>Участник команды, независимая экспертная оценка</t>
  </si>
  <si>
    <t>Алексей К.</t>
  </si>
  <si>
    <t>Александр Л.</t>
  </si>
  <si>
    <t>Обозначения:</t>
  </si>
  <si>
    <t>исходные данные (оценки экспертов) — можно менять</t>
  </si>
  <si>
    <t>итоговые результаты расчёта</t>
  </si>
  <si>
    <t>Лингвистическая шкала → треугольные нечёткие числа (l, m, u)</t>
  </si>
  <si>
    <t>Оценка</t>
  </si>
  <si>
    <t>l</t>
  </si>
  <si>
    <t>m</t>
  </si>
  <si>
    <t>u</t>
  </si>
  <si>
    <t>Очень низкий</t>
  </si>
  <si>
    <t>Низкий</t>
  </si>
  <si>
    <t>Средний</t>
  </si>
  <si>
    <t>Высокий</t>
  </si>
  <si>
    <t>Очень высокий</t>
  </si>
  <si>
    <t>l — пессимистичная, m — наиболее ожидаемая, u — оптимистичная оценка. Той же шкалой задаётся важность критериев.</t>
  </si>
  <si>
    <t>Этап 1. Лингвистические оценки экспертов (выпадающий список)</t>
  </si>
  <si>
    <t>Эксперт: Александр Ф.</t>
  </si>
  <si>
    <t>Важность критерия</t>
  </si>
  <si>
    <t>Эксперт: Алексей К.</t>
  </si>
  <si>
    <t>Эксперт: Александр Л.</t>
  </si>
  <si>
    <t>Этап 1 (продолжение). Перевод лингвистических оценок в нечёткие числа</t>
  </si>
  <si>
    <t>Этап 2. Агрегация оценок экспертов: l = min, m = среднее, u = max</t>
  </si>
  <si>
    <t>Вес критерия</t>
  </si>
  <si>
    <t>Этап 3. Нормализация: r = (l/u*, m/u*, u/u*), u* — максимальное u по критерию</t>
  </si>
  <si>
    <t>Этап 4. Взвешенная нормализованная матрица v = r ⊗ w; идеальные решения A⁺ и A⁻</t>
  </si>
  <si>
    <t>A⁺ (идеально позитивное)</t>
  </si>
  <si>
    <t>A⁻ (идеально негативное)</t>
  </si>
  <si>
    <t>Этап 5. Расстояния до A⁺: d(x, y) = √(⅓·Σ(xₖ − yₖ)²), d⁺ — сумма по критериям</t>
  </si>
  <si>
    <t>Этап 5 (продолжение). Расстояния до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</si>
</sst>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3"/>
      <name val="Calibri"/>
      <family val="2"/>
    </font>
    <font>
      <b/>
      <sz val="11"/>
      <color rgb="FFFFFFFF"/>
      <name val="Calibri"/>
      <family val="2"/>
    </font>
    <font>
      <b/>
      <sz val="11"/>
      <name val="Calibri"/>
      <family val="2"/>
    </font>
    <font>
      <i/>
      <sz val="11"/>
      <color rgb="FF595959"/>
      <name val="Calibri"/>
      <family val="2"/>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rgb="FFE2EFDA"/>
      </patternFill>
    </fill>
    <fill>
      <patternFill patternType="solid">
        <fgColor rgb="FFDDEBF7"/>
      </patternFill>
    </fill>
    <fill>
      <patternFill patternType="solid">
        <fgColor rgb="FFA9D08E"/>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left" vertical="center" wrapText="1"/>
    </xf>
    <xf numFmtId="0" fontId="3" fillId="0" borderId="0" xfId="0" applyFont="1" applyAlignment="1">
      <alignment horizontal="left" vertical="center" wrapText="1"/>
    </xf>
    <xf numFmtId="0" fontId="0" fillId="3" borderId="1" xfId="0" applyFill="1" applyBorder="1" applyAlignment="1">
      <alignment horizontal="center" vertical="center" wrapText="1"/>
    </xf>
    <xf numFmtId="0" fontId="0" fillId="0" borderId="0" xfId="0" applyAlignment="1">
      <alignment horizontal="left" vertical="center" wrapText="1"/>
    </xf>
    <xf numFmtId="0" fontId="0" fillId="4" borderId="1" xfId="0"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5" borderId="1" xfId="0" applyFont="1" applyFill="1" applyBorder="1" applyAlignment="1">
      <alignment horizontal="left"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0" fillId="5" borderId="1" xfId="0" applyNumberFormat="1" applyFill="1" applyBorder="1" applyAlignment="1">
      <alignment horizontal="center" vertical="center" wrapText="1"/>
    </xf>
    <xf numFmtId="164" fontId="3" fillId="0" borderId="1" xfId="0" applyNumberFormat="1" applyFont="1" applyBorder="1" applyAlignment="1">
      <alignment horizontal="center" vertical="center" wrapText="1"/>
    </xf>
    <xf numFmtId="164"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 fillId="0" borderId="0" xfId="0" applyFont="1" applyAlignment="1">
      <alignment horizontal="left" vertical="center" wrapText="1"/>
    </xf>
    <xf numFmtId="0" fontId="0" fillId="0" borderId="0" xfId="0"/>
    <xf numFmtId="0" fontId="4" fillId="0" borderId="0" xfId="0" applyFont="1" applyAlignment="1">
      <alignment horizontal="left"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3" fillId="5" borderId="1" xfId="0" applyFont="1" applyFill="1"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CCᵢ по альтернативам</a:t>
            </a:r>
          </a:p>
        </c:rich>
      </c:tx>
      <c:overlay val="1"/>
    </c:title>
    <c:autoTitleDeleted val="0"/>
    <c:plotArea>
      <c:layout/>
      <c:barChart>
        <c:barDir val="bar"/>
        <c:grouping val="clustered"/>
        <c:varyColors val="1"/>
        <c:ser>
          <c:idx val="0"/>
          <c:order val="0"/>
          <c:tx>
            <c:strRef>
              <c:f>Итог!$D$3</c:f>
              <c:strCache>
                <c:ptCount val="1"/>
                <c:pt idx="0">
                  <c:v>CCᵢ</c:v>
                </c:pt>
              </c:strCache>
            </c:strRef>
          </c:tx>
          <c:spPr>
            <a:ln>
              <a:prstDash val="solid"/>
            </a:ln>
          </c:spPr>
          <c:invertIfNegative val="1"/>
          <c:cat>
            <c:strRef>
              <c:f>Итог!$A$4:$A$8</c:f>
              <c:strCache>
                <c:ptCount val="5"/>
                <c:pt idx="0">
                  <c:v>Сплит</c:v>
                </c:pt>
                <c:pt idx="1">
                  <c:v>Репетиторы</c:v>
                </c:pt>
                <c:pt idx="2">
                  <c:v>Аудитории</c:v>
                </c:pt>
                <c:pt idx="3">
                  <c:v>AR-гид</c:v>
                </c:pt>
                <c:pt idx="4">
                  <c:v>Рецепты</c:v>
                </c:pt>
              </c:strCache>
            </c:strRef>
          </c:cat>
          <c:val>
            <c:numRef>
              <c:f>Итог!$D$4:$D$8</c:f>
              <c:numCache>
                <c:formatCode>0.000</c:formatCode>
                <c:ptCount val="5"/>
                <c:pt idx="0">
                  <c:v>0.91361415215189667</c:v>
                </c:pt>
                <c:pt idx="1">
                  <c:v>0.38304503070407186</c:v>
                </c:pt>
                <c:pt idx="2">
                  <c:v>0.64330053513159002</c:v>
                </c:pt>
                <c:pt idx="3">
                  <c:v>0.18210266819832047</c:v>
                </c:pt>
                <c:pt idx="4">
                  <c:v>0.69106490557746658</c:v>
                </c:pt>
              </c:numCache>
            </c:numRef>
          </c:val>
          <c:extLst>
            <c:ext xmlns:c16="http://schemas.microsoft.com/office/drawing/2014/chart" uri="{C3380CC4-5D6E-409C-BE32-E72D297353CC}">
              <c16:uniqueId val="{00000000-0EAE-4848-BBC3-7E0A77E8EEC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1"/>
        <c:axPos val="b"/>
        <c:majorGridlines/>
        <c:title>
          <c:tx>
            <c:rich>
              <a:bodyPr/>
              <a:lstStyle/>
              <a:p>
                <a:pPr>
                  <a:defRPr/>
                </a:pPr>
                <a:r>
                  <a:t>CCᵢ</a:t>
                </a:r>
              </a:p>
            </c:rich>
          </c:tx>
          <c:overlay val="1"/>
        </c:title>
        <c:numFmt formatCode="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5400000" cy="27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workbookViewId="0"/>
  </sheetViews>
  <sheetFormatPr baseColWidth="10" defaultColWidth="8.83203125" defaultRowHeight="15" x14ac:dyDescent="0.2"/>
  <cols>
    <col min="1" max="1" width="6" customWidth="1"/>
    <col min="2" max="2" width="28" customWidth="1"/>
    <col min="3" max="3" width="90" customWidth="1"/>
    <col min="4" max="29" width="14" customWidth="1"/>
  </cols>
  <sheetData>
    <row r="1" spans="1:3" ht="22" customHeight="1" x14ac:dyDescent="0.2">
      <c r="A1" s="21" t="s">
        <v>13</v>
      </c>
      <c r="B1" s="22"/>
      <c r="C1" s="22"/>
    </row>
    <row r="3" spans="1:3" ht="16" x14ac:dyDescent="0.2">
      <c r="A3" s="1" t="s">
        <v>14</v>
      </c>
      <c r="B3" s="1" t="s">
        <v>15</v>
      </c>
      <c r="C3" s="1" t="s">
        <v>16</v>
      </c>
    </row>
    <row r="4" spans="1:3" ht="16" x14ac:dyDescent="0.2">
      <c r="A4" s="2">
        <v>1</v>
      </c>
      <c r="B4" s="3" t="s">
        <v>6</v>
      </c>
      <c r="C4" s="4" t="s">
        <v>17</v>
      </c>
    </row>
    <row r="5" spans="1:3" ht="16" x14ac:dyDescent="0.2">
      <c r="A5" s="2">
        <v>2</v>
      </c>
      <c r="B5" s="3" t="s">
        <v>7</v>
      </c>
      <c r="C5" s="4" t="s">
        <v>18</v>
      </c>
    </row>
    <row r="6" spans="1:3" ht="16" x14ac:dyDescent="0.2">
      <c r="A6" s="2">
        <v>3</v>
      </c>
      <c r="B6" s="3" t="s">
        <v>8</v>
      </c>
      <c r="C6" s="4" t="s">
        <v>19</v>
      </c>
    </row>
    <row r="7" spans="1:3" ht="16" x14ac:dyDescent="0.2">
      <c r="A7" s="2">
        <v>4</v>
      </c>
      <c r="B7" s="3" t="s">
        <v>9</v>
      </c>
      <c r="C7" s="4" t="s">
        <v>20</v>
      </c>
    </row>
    <row r="8" spans="1:3" ht="16" x14ac:dyDescent="0.2">
      <c r="A8" s="2">
        <v>5</v>
      </c>
      <c r="B8" s="3" t="s">
        <v>10</v>
      </c>
      <c r="C8" s="4" t="s">
        <v>21</v>
      </c>
    </row>
    <row r="10" spans="1:3" ht="16" x14ac:dyDescent="0.2">
      <c r="A10" s="1" t="s">
        <v>14</v>
      </c>
      <c r="B10" s="1" t="s">
        <v>22</v>
      </c>
      <c r="C10" s="1" t="s">
        <v>23</v>
      </c>
    </row>
    <row r="11" spans="1:3" ht="16" x14ac:dyDescent="0.2">
      <c r="A11" s="2" t="s">
        <v>24</v>
      </c>
      <c r="B11" s="3" t="s">
        <v>25</v>
      </c>
      <c r="C11" s="4" t="s">
        <v>26</v>
      </c>
    </row>
    <row r="12" spans="1:3" ht="16" x14ac:dyDescent="0.2">
      <c r="A12" s="2" t="s">
        <v>27</v>
      </c>
      <c r="B12" s="3" t="s">
        <v>28</v>
      </c>
      <c r="C12" s="4" t="s">
        <v>29</v>
      </c>
    </row>
    <row r="13" spans="1:3" ht="16" x14ac:dyDescent="0.2">
      <c r="A13" s="2" t="s">
        <v>30</v>
      </c>
      <c r="B13" s="3" t="s">
        <v>31</v>
      </c>
      <c r="C13" s="4" t="s">
        <v>32</v>
      </c>
    </row>
    <row r="14" spans="1:3" ht="16" x14ac:dyDescent="0.2">
      <c r="A14" s="2" t="s">
        <v>33</v>
      </c>
      <c r="B14" s="3" t="s">
        <v>34</v>
      </c>
      <c r="C14" s="4" t="s">
        <v>35</v>
      </c>
    </row>
    <row r="15" spans="1:3" ht="16" x14ac:dyDescent="0.2">
      <c r="A15" s="2" t="s">
        <v>36</v>
      </c>
      <c r="B15" s="3" t="s">
        <v>37</v>
      </c>
      <c r="C15" s="4" t="s">
        <v>38</v>
      </c>
    </row>
    <row r="17" spans="1:3" ht="16" x14ac:dyDescent="0.2">
      <c r="A17" s="1" t="s">
        <v>14</v>
      </c>
      <c r="B17" s="1" t="s">
        <v>39</v>
      </c>
      <c r="C17" s="1" t="s">
        <v>40</v>
      </c>
    </row>
    <row r="18" spans="1:3" ht="16" x14ac:dyDescent="0.2">
      <c r="A18" s="2">
        <v>1</v>
      </c>
      <c r="B18" s="3" t="s">
        <v>41</v>
      </c>
      <c r="C18" s="4" t="s">
        <v>42</v>
      </c>
    </row>
    <row r="19" spans="1:3" ht="16" x14ac:dyDescent="0.2">
      <c r="A19" s="2">
        <v>2</v>
      </c>
      <c r="B19" s="3" t="s">
        <v>43</v>
      </c>
      <c r="C19" s="4" t="s">
        <v>42</v>
      </c>
    </row>
    <row r="20" spans="1:3" ht="16" x14ac:dyDescent="0.2">
      <c r="A20" s="2">
        <v>3</v>
      </c>
      <c r="B20" s="3" t="s">
        <v>44</v>
      </c>
      <c r="C20" s="4" t="s">
        <v>42</v>
      </c>
    </row>
    <row r="22" spans="1:3" ht="16" x14ac:dyDescent="0.2">
      <c r="B22" s="5" t="s">
        <v>45</v>
      </c>
    </row>
    <row r="23" spans="1:3" ht="16" x14ac:dyDescent="0.2">
      <c r="B23" s="6"/>
      <c r="C23" s="7" t="s">
        <v>46</v>
      </c>
    </row>
    <row r="24" spans="1:3" ht="16" x14ac:dyDescent="0.2">
      <c r="B24" s="8"/>
      <c r="C24" s="7" t="s">
        <v>47</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baseColWidth="10" defaultColWidth="8.83203125" defaultRowHeight="15" x14ac:dyDescent="0.2"/>
  <cols>
    <col min="1" max="1" width="22" customWidth="1"/>
    <col min="2" max="29" width="10" customWidth="1"/>
  </cols>
  <sheetData>
    <row r="1" spans="1:6" ht="22" customHeight="1" x14ac:dyDescent="0.2">
      <c r="A1" s="21" t="s">
        <v>48</v>
      </c>
      <c r="B1" s="22"/>
      <c r="C1" s="22"/>
      <c r="D1" s="22"/>
      <c r="E1" s="22"/>
      <c r="F1" s="22"/>
    </row>
    <row r="3" spans="1:6" ht="16" x14ac:dyDescent="0.2">
      <c r="A3" s="1" t="s">
        <v>49</v>
      </c>
      <c r="B3" s="1" t="s">
        <v>50</v>
      </c>
      <c r="C3" s="1" t="s">
        <v>51</v>
      </c>
      <c r="D3" s="1" t="s">
        <v>52</v>
      </c>
    </row>
    <row r="4" spans="1:6" ht="16" x14ac:dyDescent="0.2">
      <c r="A4" s="3" t="s">
        <v>53</v>
      </c>
      <c r="B4" s="2">
        <v>1</v>
      </c>
      <c r="C4" s="2">
        <v>1</v>
      </c>
      <c r="D4" s="2">
        <v>3</v>
      </c>
    </row>
    <row r="5" spans="1:6" ht="16" x14ac:dyDescent="0.2">
      <c r="A5" s="3" t="s">
        <v>54</v>
      </c>
      <c r="B5" s="2">
        <v>1</v>
      </c>
      <c r="C5" s="2">
        <v>3</v>
      </c>
      <c r="D5" s="2">
        <v>5</v>
      </c>
    </row>
    <row r="6" spans="1:6" ht="16" x14ac:dyDescent="0.2">
      <c r="A6" s="3" t="s">
        <v>55</v>
      </c>
      <c r="B6" s="2">
        <v>3</v>
      </c>
      <c r="C6" s="2">
        <v>5</v>
      </c>
      <c r="D6" s="2">
        <v>7</v>
      </c>
    </row>
    <row r="7" spans="1:6" ht="16" x14ac:dyDescent="0.2">
      <c r="A7" s="3" t="s">
        <v>56</v>
      </c>
      <c r="B7" s="2">
        <v>5</v>
      </c>
      <c r="C7" s="2">
        <v>7</v>
      </c>
      <c r="D7" s="2">
        <v>9</v>
      </c>
    </row>
    <row r="8" spans="1:6" ht="16" x14ac:dyDescent="0.2">
      <c r="A8" s="3" t="s">
        <v>57</v>
      </c>
      <c r="B8" s="2">
        <v>7</v>
      </c>
      <c r="C8" s="2">
        <v>9</v>
      </c>
      <c r="D8" s="2">
        <v>9</v>
      </c>
    </row>
    <row r="10" spans="1:6" ht="30" customHeight="1" x14ac:dyDescent="0.2">
      <c r="A10" s="23" t="s">
        <v>58</v>
      </c>
      <c r="B10" s="22"/>
      <c r="C10" s="22"/>
      <c r="D10" s="22"/>
      <c r="E10" s="22"/>
      <c r="F10" s="22"/>
    </row>
  </sheetData>
  <mergeCells count="2">
    <mergeCell ref="A1:F1"/>
    <mergeCell ref="A10:F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workbookViewId="0"/>
  </sheetViews>
  <sheetFormatPr baseColWidth="10" defaultColWidth="8.83203125" defaultRowHeight="15" x14ac:dyDescent="0.2"/>
  <cols>
    <col min="1" max="1" width="24" customWidth="1"/>
    <col min="2" max="29" width="17" customWidth="1"/>
  </cols>
  <sheetData>
    <row r="1" spans="1:6" ht="22" customHeight="1" x14ac:dyDescent="0.2">
      <c r="A1" s="21" t="s">
        <v>59</v>
      </c>
      <c r="B1" s="22"/>
      <c r="C1" s="22"/>
      <c r="D1" s="22"/>
      <c r="E1" s="22"/>
      <c r="F1" s="22"/>
    </row>
    <row r="3" spans="1:6" x14ac:dyDescent="0.2">
      <c r="A3" s="24" t="s">
        <v>60</v>
      </c>
      <c r="B3" s="25"/>
      <c r="C3" s="25"/>
      <c r="D3" s="25"/>
      <c r="E3" s="25"/>
      <c r="F3" s="25"/>
    </row>
    <row r="4" spans="1:6" ht="32" customHeight="1" x14ac:dyDescent="0.2">
      <c r="A4" s="9" t="s">
        <v>1</v>
      </c>
      <c r="B4" s="9" t="s">
        <v>25</v>
      </c>
      <c r="C4" s="9" t="s">
        <v>28</v>
      </c>
      <c r="D4" s="9" t="s">
        <v>31</v>
      </c>
      <c r="E4" s="9" t="s">
        <v>34</v>
      </c>
      <c r="F4" s="9" t="s">
        <v>37</v>
      </c>
    </row>
    <row r="5" spans="1:6" ht="16" x14ac:dyDescent="0.2">
      <c r="A5" s="10" t="s">
        <v>6</v>
      </c>
      <c r="B5" s="6" t="s">
        <v>56</v>
      </c>
      <c r="C5" s="6" t="s">
        <v>56</v>
      </c>
      <c r="D5" s="6" t="s">
        <v>55</v>
      </c>
      <c r="E5" s="6" t="s">
        <v>57</v>
      </c>
      <c r="F5" s="6" t="s">
        <v>57</v>
      </c>
    </row>
    <row r="6" spans="1:6" ht="16" x14ac:dyDescent="0.2">
      <c r="A6" s="10" t="s">
        <v>7</v>
      </c>
      <c r="B6" s="6" t="s">
        <v>54</v>
      </c>
      <c r="C6" s="6" t="s">
        <v>57</v>
      </c>
      <c r="D6" s="6" t="s">
        <v>57</v>
      </c>
      <c r="E6" s="6" t="s">
        <v>54</v>
      </c>
      <c r="F6" s="6" t="s">
        <v>55</v>
      </c>
    </row>
    <row r="7" spans="1:6" ht="16" x14ac:dyDescent="0.2">
      <c r="A7" s="10" t="s">
        <v>8</v>
      </c>
      <c r="B7" s="6" t="s">
        <v>55</v>
      </c>
      <c r="C7" s="6" t="s">
        <v>55</v>
      </c>
      <c r="D7" s="6" t="s">
        <v>54</v>
      </c>
      <c r="E7" s="6" t="s">
        <v>55</v>
      </c>
      <c r="F7" s="6" t="s">
        <v>56</v>
      </c>
    </row>
    <row r="8" spans="1:6" ht="16" x14ac:dyDescent="0.2">
      <c r="A8" s="10" t="s">
        <v>9</v>
      </c>
      <c r="B8" s="6" t="s">
        <v>53</v>
      </c>
      <c r="C8" s="6" t="s">
        <v>55</v>
      </c>
      <c r="D8" s="6" t="s">
        <v>56</v>
      </c>
      <c r="E8" s="6" t="s">
        <v>53</v>
      </c>
      <c r="F8" s="6" t="s">
        <v>54</v>
      </c>
    </row>
    <row r="9" spans="1:6" ht="16" x14ac:dyDescent="0.2">
      <c r="A9" s="10" t="s">
        <v>10</v>
      </c>
      <c r="B9" s="6" t="s">
        <v>56</v>
      </c>
      <c r="C9" s="6" t="s">
        <v>54</v>
      </c>
      <c r="D9" s="6" t="s">
        <v>55</v>
      </c>
      <c r="E9" s="6" t="s">
        <v>56</v>
      </c>
      <c r="F9" s="6" t="s">
        <v>55</v>
      </c>
    </row>
    <row r="10" spans="1:6" ht="16" x14ac:dyDescent="0.2">
      <c r="A10" s="11" t="s">
        <v>61</v>
      </c>
      <c r="B10" s="6" t="s">
        <v>56</v>
      </c>
      <c r="C10" s="6" t="s">
        <v>55</v>
      </c>
      <c r="D10" s="6" t="s">
        <v>55</v>
      </c>
      <c r="E10" s="6" t="s">
        <v>57</v>
      </c>
      <c r="F10" s="6" t="s">
        <v>56</v>
      </c>
    </row>
    <row r="12" spans="1:6" x14ac:dyDescent="0.2">
      <c r="A12" s="24" t="s">
        <v>62</v>
      </c>
      <c r="B12" s="25"/>
      <c r="C12" s="25"/>
      <c r="D12" s="25"/>
      <c r="E12" s="25"/>
      <c r="F12" s="25"/>
    </row>
    <row r="13" spans="1:6" ht="32" customHeight="1" x14ac:dyDescent="0.2">
      <c r="A13" s="9" t="s">
        <v>1</v>
      </c>
      <c r="B13" s="9" t="s">
        <v>25</v>
      </c>
      <c r="C13" s="9" t="s">
        <v>28</v>
      </c>
      <c r="D13" s="9" t="s">
        <v>31</v>
      </c>
      <c r="E13" s="9" t="s">
        <v>34</v>
      </c>
      <c r="F13" s="9" t="s">
        <v>37</v>
      </c>
    </row>
    <row r="14" spans="1:6" ht="16" x14ac:dyDescent="0.2">
      <c r="A14" s="10" t="s">
        <v>6</v>
      </c>
      <c r="B14" s="6" t="s">
        <v>57</v>
      </c>
      <c r="C14" s="6" t="s">
        <v>55</v>
      </c>
      <c r="D14" s="6" t="s">
        <v>55</v>
      </c>
      <c r="E14" s="6" t="s">
        <v>56</v>
      </c>
      <c r="F14" s="6" t="s">
        <v>56</v>
      </c>
    </row>
    <row r="15" spans="1:6" ht="16" x14ac:dyDescent="0.2">
      <c r="A15" s="10" t="s">
        <v>7</v>
      </c>
      <c r="B15" s="6" t="s">
        <v>54</v>
      </c>
      <c r="C15" s="6" t="s">
        <v>56</v>
      </c>
      <c r="D15" s="6" t="s">
        <v>57</v>
      </c>
      <c r="E15" s="6" t="s">
        <v>54</v>
      </c>
      <c r="F15" s="6" t="s">
        <v>55</v>
      </c>
    </row>
    <row r="16" spans="1:6" ht="16" x14ac:dyDescent="0.2">
      <c r="A16" s="10" t="s">
        <v>8</v>
      </c>
      <c r="B16" s="6" t="s">
        <v>56</v>
      </c>
      <c r="C16" s="6" t="s">
        <v>55</v>
      </c>
      <c r="D16" s="6" t="s">
        <v>54</v>
      </c>
      <c r="E16" s="6" t="s">
        <v>56</v>
      </c>
      <c r="F16" s="6" t="s">
        <v>56</v>
      </c>
    </row>
    <row r="17" spans="1:6" ht="16" x14ac:dyDescent="0.2">
      <c r="A17" s="10" t="s">
        <v>9</v>
      </c>
      <c r="B17" s="6" t="s">
        <v>54</v>
      </c>
      <c r="C17" s="6" t="s">
        <v>56</v>
      </c>
      <c r="D17" s="6" t="s">
        <v>57</v>
      </c>
      <c r="E17" s="6" t="s">
        <v>53</v>
      </c>
      <c r="F17" s="6" t="s">
        <v>53</v>
      </c>
    </row>
    <row r="18" spans="1:6" ht="16" x14ac:dyDescent="0.2">
      <c r="A18" s="10" t="s">
        <v>10</v>
      </c>
      <c r="B18" s="6" t="s">
        <v>56</v>
      </c>
      <c r="C18" s="6" t="s">
        <v>55</v>
      </c>
      <c r="D18" s="6" t="s">
        <v>54</v>
      </c>
      <c r="E18" s="6" t="s">
        <v>56</v>
      </c>
      <c r="F18" s="6" t="s">
        <v>56</v>
      </c>
    </row>
    <row r="19" spans="1:6" ht="16" x14ac:dyDescent="0.2">
      <c r="A19" s="11" t="s">
        <v>61</v>
      </c>
      <c r="B19" s="6" t="s">
        <v>57</v>
      </c>
      <c r="C19" s="6" t="s">
        <v>56</v>
      </c>
      <c r="D19" s="6" t="s">
        <v>54</v>
      </c>
      <c r="E19" s="6" t="s">
        <v>56</v>
      </c>
      <c r="F19" s="6" t="s">
        <v>56</v>
      </c>
    </row>
    <row r="21" spans="1:6" x14ac:dyDescent="0.2">
      <c r="A21" s="24" t="s">
        <v>63</v>
      </c>
      <c r="B21" s="25"/>
      <c r="C21" s="25"/>
      <c r="D21" s="25"/>
      <c r="E21" s="25"/>
      <c r="F21" s="25"/>
    </row>
    <row r="22" spans="1:6" ht="32" customHeight="1" x14ac:dyDescent="0.2">
      <c r="A22" s="9" t="s">
        <v>1</v>
      </c>
      <c r="B22" s="9" t="s">
        <v>25</v>
      </c>
      <c r="C22" s="9" t="s">
        <v>28</v>
      </c>
      <c r="D22" s="9" t="s">
        <v>31</v>
      </c>
      <c r="E22" s="9" t="s">
        <v>34</v>
      </c>
      <c r="F22" s="9" t="s">
        <v>37</v>
      </c>
    </row>
    <row r="23" spans="1:6" ht="16" x14ac:dyDescent="0.2">
      <c r="A23" s="10" t="s">
        <v>6</v>
      </c>
      <c r="B23" s="6" t="s">
        <v>56</v>
      </c>
      <c r="C23" s="6" t="s">
        <v>56</v>
      </c>
      <c r="D23" s="6" t="s">
        <v>56</v>
      </c>
      <c r="E23" s="6" t="s">
        <v>56</v>
      </c>
      <c r="F23" s="6" t="s">
        <v>57</v>
      </c>
    </row>
    <row r="24" spans="1:6" ht="16" x14ac:dyDescent="0.2">
      <c r="A24" s="10" t="s">
        <v>7</v>
      </c>
      <c r="B24" s="6" t="s">
        <v>53</v>
      </c>
      <c r="C24" s="6" t="s">
        <v>56</v>
      </c>
      <c r="D24" s="6" t="s">
        <v>56</v>
      </c>
      <c r="E24" s="6" t="s">
        <v>54</v>
      </c>
      <c r="F24" s="6" t="s">
        <v>54</v>
      </c>
    </row>
    <row r="25" spans="1:6" ht="16" x14ac:dyDescent="0.2">
      <c r="A25" s="10" t="s">
        <v>8</v>
      </c>
      <c r="B25" s="6" t="s">
        <v>55</v>
      </c>
      <c r="C25" s="6" t="s">
        <v>56</v>
      </c>
      <c r="D25" s="6" t="s">
        <v>55</v>
      </c>
      <c r="E25" s="6" t="s">
        <v>55</v>
      </c>
      <c r="F25" s="6" t="s">
        <v>55</v>
      </c>
    </row>
    <row r="26" spans="1:6" ht="16" x14ac:dyDescent="0.2">
      <c r="A26" s="10" t="s">
        <v>9</v>
      </c>
      <c r="B26" s="6" t="s">
        <v>53</v>
      </c>
      <c r="C26" s="6" t="s">
        <v>55</v>
      </c>
      <c r="D26" s="6" t="s">
        <v>56</v>
      </c>
      <c r="E26" s="6" t="s">
        <v>54</v>
      </c>
      <c r="F26" s="6" t="s">
        <v>54</v>
      </c>
    </row>
    <row r="27" spans="1:6" ht="16" x14ac:dyDescent="0.2">
      <c r="A27" s="10" t="s">
        <v>10</v>
      </c>
      <c r="B27" s="6" t="s">
        <v>57</v>
      </c>
      <c r="C27" s="6" t="s">
        <v>54</v>
      </c>
      <c r="D27" s="6" t="s">
        <v>55</v>
      </c>
      <c r="E27" s="6" t="s">
        <v>57</v>
      </c>
      <c r="F27" s="6" t="s">
        <v>55</v>
      </c>
    </row>
    <row r="28" spans="1:6" ht="16" x14ac:dyDescent="0.2">
      <c r="A28" s="11" t="s">
        <v>61</v>
      </c>
      <c r="B28" s="6" t="s">
        <v>56</v>
      </c>
      <c r="C28" s="6" t="s">
        <v>55</v>
      </c>
      <c r="D28" s="6" t="s">
        <v>55</v>
      </c>
      <c r="E28" s="6" t="s">
        <v>56</v>
      </c>
      <c r="F28" s="6" t="s">
        <v>57</v>
      </c>
    </row>
  </sheetData>
  <mergeCells count="4">
    <mergeCell ref="A3:F3"/>
    <mergeCell ref="A21:F21"/>
    <mergeCell ref="A1:F1"/>
    <mergeCell ref="A12:F12"/>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200-000000000000}">
          <x14:formula1>
            <xm:f>Шкала!$A$4:$A$8</xm:f>
          </x14:formula1>
          <xm:sqref>B5 B6 B7 B8 B9 B10 B14 B15 B16 B17 B18 B19 B23 B24 B25 B26 B27 B28 C5 C6 C7 C8 C9 C10 C14 C15 C16 C17 C18 C19 C23 C24 C25 C26 C27 C28 D5 D6 D7 D8 D9 D10 D14 D15 D16 D17 D18 D19 D23 D24 D25 D26 D27 D28 E5 E6 E7 E8 E9 E10 E14 E15 E16 E17 E18 E19 E23 E24 E25 E26 E27 E28 F5 F6 F7 F8 F9 F10 F14 F15 F16 F17 F18 F19 F23 F24 F25 F26 F27 F28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1"/>
  <sheetViews>
    <sheetView workbookViewId="0"/>
  </sheetViews>
  <sheetFormatPr baseColWidth="10" defaultColWidth="8.83203125" defaultRowHeight="15" x14ac:dyDescent="0.2"/>
  <cols>
    <col min="1" max="1" width="24" customWidth="1"/>
    <col min="2" max="29" width="7.5" customWidth="1"/>
  </cols>
  <sheetData>
    <row r="1" spans="1:16" ht="22" customHeight="1" x14ac:dyDescent="0.2">
      <c r="A1" s="21" t="s">
        <v>64</v>
      </c>
      <c r="B1" s="22"/>
      <c r="C1" s="22"/>
      <c r="D1" s="22"/>
      <c r="E1" s="22"/>
      <c r="F1" s="22"/>
      <c r="G1" s="22"/>
      <c r="H1" s="22"/>
      <c r="I1" s="22"/>
      <c r="J1" s="22"/>
      <c r="K1" s="22"/>
      <c r="L1" s="22"/>
      <c r="M1" s="22"/>
      <c r="N1" s="22"/>
      <c r="O1" s="22"/>
      <c r="P1" s="22"/>
    </row>
    <row r="3" spans="1:16" x14ac:dyDescent="0.2">
      <c r="A3" s="24" t="s">
        <v>60</v>
      </c>
      <c r="B3" s="25"/>
      <c r="C3" s="25"/>
      <c r="D3" s="25"/>
      <c r="E3" s="25"/>
      <c r="F3" s="25"/>
      <c r="G3" s="25"/>
      <c r="H3" s="25"/>
      <c r="I3" s="25"/>
      <c r="J3" s="25"/>
      <c r="K3" s="25"/>
      <c r="L3" s="25"/>
      <c r="M3" s="25"/>
      <c r="N3" s="25"/>
      <c r="O3" s="25"/>
      <c r="P3" s="25"/>
    </row>
    <row r="4" spans="1:16" ht="16" x14ac:dyDescent="0.2">
      <c r="A4" s="9" t="s">
        <v>1</v>
      </c>
      <c r="B4" s="26" t="s">
        <v>25</v>
      </c>
      <c r="C4" s="26"/>
      <c r="D4" s="26"/>
      <c r="E4" s="26" t="s">
        <v>28</v>
      </c>
      <c r="F4" s="26"/>
      <c r="G4" s="26"/>
      <c r="H4" s="26" t="s">
        <v>31</v>
      </c>
      <c r="I4" s="26"/>
      <c r="J4" s="26"/>
      <c r="K4" s="26" t="s">
        <v>34</v>
      </c>
      <c r="L4" s="26"/>
      <c r="M4" s="26"/>
      <c r="N4" s="26" t="s">
        <v>37</v>
      </c>
      <c r="O4" s="26"/>
      <c r="P4" s="26"/>
    </row>
    <row r="5" spans="1:16" ht="16" x14ac:dyDescent="0.2">
      <c r="A5" s="9"/>
      <c r="B5" s="9" t="s">
        <v>50</v>
      </c>
      <c r="C5" s="9" t="s">
        <v>51</v>
      </c>
      <c r="D5" s="9" t="s">
        <v>52</v>
      </c>
      <c r="E5" s="9" t="s">
        <v>50</v>
      </c>
      <c r="F5" s="9" t="s">
        <v>51</v>
      </c>
      <c r="G5" s="9" t="s">
        <v>52</v>
      </c>
      <c r="H5" s="9" t="s">
        <v>50</v>
      </c>
      <c r="I5" s="9" t="s">
        <v>51</v>
      </c>
      <c r="J5" s="9" t="s">
        <v>52</v>
      </c>
      <c r="K5" s="9" t="s">
        <v>50</v>
      </c>
      <c r="L5" s="9" t="s">
        <v>51</v>
      </c>
      <c r="M5" s="9" t="s">
        <v>52</v>
      </c>
      <c r="N5" s="9" t="s">
        <v>50</v>
      </c>
      <c r="O5" s="9" t="s">
        <v>51</v>
      </c>
      <c r="P5" s="9" t="s">
        <v>52</v>
      </c>
    </row>
    <row r="6" spans="1:16" ht="16" x14ac:dyDescent="0.2">
      <c r="A6" s="10" t="s">
        <v>6</v>
      </c>
      <c r="B6" s="2">
        <f>VLOOKUP('Оценки экспертов'!$B$5,Шкала!$A$4:$D$8,2,FALSE)</f>
        <v>5</v>
      </c>
      <c r="C6" s="2">
        <f>VLOOKUP('Оценки экспертов'!$B$5,Шкала!$A$4:$D$8,3,FALSE)</f>
        <v>7</v>
      </c>
      <c r="D6" s="2">
        <f>VLOOKUP('Оценки экспертов'!$B$5,Шкала!$A$4:$D$8,4,FALSE)</f>
        <v>9</v>
      </c>
      <c r="E6" s="2">
        <f>VLOOKUP('Оценки экспертов'!$C$5,Шкала!$A$4:$D$8,2,FALSE)</f>
        <v>5</v>
      </c>
      <c r="F6" s="2">
        <f>VLOOKUP('Оценки экспертов'!$C$5,Шкала!$A$4:$D$8,3,FALSE)</f>
        <v>7</v>
      </c>
      <c r="G6" s="2">
        <f>VLOOKUP('Оценки экспертов'!$C$5,Шкала!$A$4:$D$8,4,FALSE)</f>
        <v>9</v>
      </c>
      <c r="H6" s="2">
        <f>VLOOKUP('Оценки экспертов'!$D$5,Шкала!$A$4:$D$8,2,FALSE)</f>
        <v>3</v>
      </c>
      <c r="I6" s="2">
        <f>VLOOKUP('Оценки экспертов'!$D$5,Шкала!$A$4:$D$8,3,FALSE)</f>
        <v>5</v>
      </c>
      <c r="J6" s="2">
        <f>VLOOKUP('Оценки экспертов'!$D$5,Шкала!$A$4:$D$8,4,FALSE)</f>
        <v>7</v>
      </c>
      <c r="K6" s="2">
        <f>VLOOKUP('Оценки экспертов'!$E$5,Шкала!$A$4:$D$8,2,FALSE)</f>
        <v>7</v>
      </c>
      <c r="L6" s="2">
        <f>VLOOKUP('Оценки экспертов'!$E$5,Шкала!$A$4:$D$8,3,FALSE)</f>
        <v>9</v>
      </c>
      <c r="M6" s="2">
        <f>VLOOKUP('Оценки экспертов'!$E$5,Шкала!$A$4:$D$8,4,FALSE)</f>
        <v>9</v>
      </c>
      <c r="N6" s="2">
        <f>VLOOKUP('Оценки экспертов'!$F$5,Шкала!$A$4:$D$8,2,FALSE)</f>
        <v>7</v>
      </c>
      <c r="O6" s="2">
        <f>VLOOKUP('Оценки экспертов'!$F$5,Шкала!$A$4:$D$8,3,FALSE)</f>
        <v>9</v>
      </c>
      <c r="P6" s="2">
        <f>VLOOKUP('Оценки экспертов'!$F$5,Шкала!$A$4:$D$8,4,FALSE)</f>
        <v>9</v>
      </c>
    </row>
    <row r="7" spans="1:16" ht="16" x14ac:dyDescent="0.2">
      <c r="A7" s="10" t="s">
        <v>7</v>
      </c>
      <c r="B7" s="2">
        <f>VLOOKUP('Оценки экспертов'!$B$6,Шкала!$A$4:$D$8,2,FALSE)</f>
        <v>1</v>
      </c>
      <c r="C7" s="2">
        <f>VLOOKUP('Оценки экспертов'!$B$6,Шкала!$A$4:$D$8,3,FALSE)</f>
        <v>3</v>
      </c>
      <c r="D7" s="2">
        <f>VLOOKUP('Оценки экспертов'!$B$6,Шкала!$A$4:$D$8,4,FALSE)</f>
        <v>5</v>
      </c>
      <c r="E7" s="2">
        <f>VLOOKUP('Оценки экспертов'!$C$6,Шкала!$A$4:$D$8,2,FALSE)</f>
        <v>7</v>
      </c>
      <c r="F7" s="2">
        <f>VLOOKUP('Оценки экспертов'!$C$6,Шкала!$A$4:$D$8,3,FALSE)</f>
        <v>9</v>
      </c>
      <c r="G7" s="2">
        <f>VLOOKUP('Оценки экспертов'!$C$6,Шкала!$A$4:$D$8,4,FALSE)</f>
        <v>9</v>
      </c>
      <c r="H7" s="2">
        <f>VLOOKUP('Оценки экспертов'!$D$6,Шкала!$A$4:$D$8,2,FALSE)</f>
        <v>7</v>
      </c>
      <c r="I7" s="2">
        <f>VLOOKUP('Оценки экспертов'!$D$6,Шкала!$A$4:$D$8,3,FALSE)</f>
        <v>9</v>
      </c>
      <c r="J7" s="2">
        <f>VLOOKUP('Оценки экспертов'!$D$6,Шкала!$A$4:$D$8,4,FALSE)</f>
        <v>9</v>
      </c>
      <c r="K7" s="2">
        <f>VLOOKUP('Оценки экспертов'!$E$6,Шкала!$A$4:$D$8,2,FALSE)</f>
        <v>1</v>
      </c>
      <c r="L7" s="2">
        <f>VLOOKUP('Оценки экспертов'!$E$6,Шкала!$A$4:$D$8,3,FALSE)</f>
        <v>3</v>
      </c>
      <c r="M7" s="2">
        <f>VLOOKUP('Оценки экспертов'!$E$6,Шкала!$A$4:$D$8,4,FALSE)</f>
        <v>5</v>
      </c>
      <c r="N7" s="2">
        <f>VLOOKUP('Оценки экспертов'!$F$6,Шкала!$A$4:$D$8,2,FALSE)</f>
        <v>3</v>
      </c>
      <c r="O7" s="2">
        <f>VLOOKUP('Оценки экспертов'!$F$6,Шкала!$A$4:$D$8,3,FALSE)</f>
        <v>5</v>
      </c>
      <c r="P7" s="2">
        <f>VLOOKUP('Оценки экспертов'!$F$6,Шкала!$A$4:$D$8,4,FALSE)</f>
        <v>7</v>
      </c>
    </row>
    <row r="8" spans="1:16" ht="16" x14ac:dyDescent="0.2">
      <c r="A8" s="10" t="s">
        <v>8</v>
      </c>
      <c r="B8" s="2">
        <f>VLOOKUP('Оценки экспертов'!$B$7,Шкала!$A$4:$D$8,2,FALSE)</f>
        <v>3</v>
      </c>
      <c r="C8" s="2">
        <f>VLOOKUP('Оценки экспертов'!$B$7,Шкала!$A$4:$D$8,3,FALSE)</f>
        <v>5</v>
      </c>
      <c r="D8" s="2">
        <f>VLOOKUP('Оценки экспертов'!$B$7,Шкала!$A$4:$D$8,4,FALSE)</f>
        <v>7</v>
      </c>
      <c r="E8" s="2">
        <f>VLOOKUP('Оценки экспертов'!$C$7,Шкала!$A$4:$D$8,2,FALSE)</f>
        <v>3</v>
      </c>
      <c r="F8" s="2">
        <f>VLOOKUP('Оценки экспертов'!$C$7,Шкала!$A$4:$D$8,3,FALSE)</f>
        <v>5</v>
      </c>
      <c r="G8" s="2">
        <f>VLOOKUP('Оценки экспертов'!$C$7,Шкала!$A$4:$D$8,4,FALSE)</f>
        <v>7</v>
      </c>
      <c r="H8" s="2">
        <f>VLOOKUP('Оценки экспертов'!$D$7,Шкала!$A$4:$D$8,2,FALSE)</f>
        <v>1</v>
      </c>
      <c r="I8" s="2">
        <f>VLOOKUP('Оценки экспертов'!$D$7,Шкала!$A$4:$D$8,3,FALSE)</f>
        <v>3</v>
      </c>
      <c r="J8" s="2">
        <f>VLOOKUP('Оценки экспертов'!$D$7,Шкала!$A$4:$D$8,4,FALSE)</f>
        <v>5</v>
      </c>
      <c r="K8" s="2">
        <f>VLOOKUP('Оценки экспертов'!$E$7,Шкала!$A$4:$D$8,2,FALSE)</f>
        <v>3</v>
      </c>
      <c r="L8" s="2">
        <f>VLOOKUP('Оценки экспертов'!$E$7,Шкала!$A$4:$D$8,3,FALSE)</f>
        <v>5</v>
      </c>
      <c r="M8" s="2">
        <f>VLOOKUP('Оценки экспертов'!$E$7,Шкала!$A$4:$D$8,4,FALSE)</f>
        <v>7</v>
      </c>
      <c r="N8" s="2">
        <f>VLOOKUP('Оценки экспертов'!$F$7,Шкала!$A$4:$D$8,2,FALSE)</f>
        <v>5</v>
      </c>
      <c r="O8" s="2">
        <f>VLOOKUP('Оценки экспертов'!$F$7,Шкала!$A$4:$D$8,3,FALSE)</f>
        <v>7</v>
      </c>
      <c r="P8" s="2">
        <f>VLOOKUP('Оценки экспертов'!$F$7,Шкала!$A$4:$D$8,4,FALSE)</f>
        <v>9</v>
      </c>
    </row>
    <row r="9" spans="1:16" ht="16" x14ac:dyDescent="0.2">
      <c r="A9" s="10" t="s">
        <v>9</v>
      </c>
      <c r="B9" s="2">
        <f>VLOOKUP('Оценки экспертов'!$B$8,Шкала!$A$4:$D$8,2,FALSE)</f>
        <v>1</v>
      </c>
      <c r="C9" s="2">
        <f>VLOOKUP('Оценки экспертов'!$B$8,Шкала!$A$4:$D$8,3,FALSE)</f>
        <v>1</v>
      </c>
      <c r="D9" s="2">
        <f>VLOOKUP('Оценки экспертов'!$B$8,Шкала!$A$4:$D$8,4,FALSE)</f>
        <v>3</v>
      </c>
      <c r="E9" s="2">
        <f>VLOOKUP('Оценки экспертов'!$C$8,Шкала!$A$4:$D$8,2,FALSE)</f>
        <v>3</v>
      </c>
      <c r="F9" s="2">
        <f>VLOOKUP('Оценки экспертов'!$C$8,Шкала!$A$4:$D$8,3,FALSE)</f>
        <v>5</v>
      </c>
      <c r="G9" s="2">
        <f>VLOOKUP('Оценки экспертов'!$C$8,Шкала!$A$4:$D$8,4,FALSE)</f>
        <v>7</v>
      </c>
      <c r="H9" s="2">
        <f>VLOOKUP('Оценки экспертов'!$D$8,Шкала!$A$4:$D$8,2,FALSE)</f>
        <v>5</v>
      </c>
      <c r="I9" s="2">
        <f>VLOOKUP('Оценки экспертов'!$D$8,Шкала!$A$4:$D$8,3,FALSE)</f>
        <v>7</v>
      </c>
      <c r="J9" s="2">
        <f>VLOOKUP('Оценки экспертов'!$D$8,Шкала!$A$4:$D$8,4,FALSE)</f>
        <v>9</v>
      </c>
      <c r="K9" s="2">
        <f>VLOOKUP('Оценки экспертов'!$E$8,Шкала!$A$4:$D$8,2,FALSE)</f>
        <v>1</v>
      </c>
      <c r="L9" s="2">
        <f>VLOOKUP('Оценки экспертов'!$E$8,Шкала!$A$4:$D$8,3,FALSE)</f>
        <v>1</v>
      </c>
      <c r="M9" s="2">
        <f>VLOOKUP('Оценки экспертов'!$E$8,Шкала!$A$4:$D$8,4,FALSE)</f>
        <v>3</v>
      </c>
      <c r="N9" s="2">
        <f>VLOOKUP('Оценки экспертов'!$F$8,Шкала!$A$4:$D$8,2,FALSE)</f>
        <v>1</v>
      </c>
      <c r="O9" s="2">
        <f>VLOOKUP('Оценки экспертов'!$F$8,Шкала!$A$4:$D$8,3,FALSE)</f>
        <v>3</v>
      </c>
      <c r="P9" s="2">
        <f>VLOOKUP('Оценки экспертов'!$F$8,Шкала!$A$4:$D$8,4,FALSE)</f>
        <v>5</v>
      </c>
    </row>
    <row r="10" spans="1:16" ht="16" x14ac:dyDescent="0.2">
      <c r="A10" s="10" t="s">
        <v>10</v>
      </c>
      <c r="B10" s="2">
        <f>VLOOKUP('Оценки экспертов'!$B$9,Шкала!$A$4:$D$8,2,FALSE)</f>
        <v>5</v>
      </c>
      <c r="C10" s="2">
        <f>VLOOKUP('Оценки экспертов'!$B$9,Шкала!$A$4:$D$8,3,FALSE)</f>
        <v>7</v>
      </c>
      <c r="D10" s="2">
        <f>VLOOKUP('Оценки экспертов'!$B$9,Шкала!$A$4:$D$8,4,FALSE)</f>
        <v>9</v>
      </c>
      <c r="E10" s="2">
        <f>VLOOKUP('Оценки экспертов'!$C$9,Шкала!$A$4:$D$8,2,FALSE)</f>
        <v>1</v>
      </c>
      <c r="F10" s="2">
        <f>VLOOKUP('Оценки экспертов'!$C$9,Шкала!$A$4:$D$8,3,FALSE)</f>
        <v>3</v>
      </c>
      <c r="G10" s="2">
        <f>VLOOKUP('Оценки экспертов'!$C$9,Шкала!$A$4:$D$8,4,FALSE)</f>
        <v>5</v>
      </c>
      <c r="H10" s="2">
        <f>VLOOKUP('Оценки экспертов'!$D$9,Шкала!$A$4:$D$8,2,FALSE)</f>
        <v>3</v>
      </c>
      <c r="I10" s="2">
        <f>VLOOKUP('Оценки экспертов'!$D$9,Шкала!$A$4:$D$8,3,FALSE)</f>
        <v>5</v>
      </c>
      <c r="J10" s="2">
        <f>VLOOKUP('Оценки экспертов'!$D$9,Шкала!$A$4:$D$8,4,FALSE)</f>
        <v>7</v>
      </c>
      <c r="K10" s="2">
        <f>VLOOKUP('Оценки экспертов'!$E$9,Шкала!$A$4:$D$8,2,FALSE)</f>
        <v>5</v>
      </c>
      <c r="L10" s="2">
        <f>VLOOKUP('Оценки экспертов'!$E$9,Шкала!$A$4:$D$8,3,FALSE)</f>
        <v>7</v>
      </c>
      <c r="M10" s="2">
        <f>VLOOKUP('Оценки экспертов'!$E$9,Шкала!$A$4:$D$8,4,FALSE)</f>
        <v>9</v>
      </c>
      <c r="N10" s="2">
        <f>VLOOKUP('Оценки экспертов'!$F$9,Шкала!$A$4:$D$8,2,FALSE)</f>
        <v>3</v>
      </c>
      <c r="O10" s="2">
        <f>VLOOKUP('Оценки экспертов'!$F$9,Шкала!$A$4:$D$8,3,FALSE)</f>
        <v>5</v>
      </c>
      <c r="P10" s="2">
        <f>VLOOKUP('Оценки экспертов'!$F$9,Шкала!$A$4:$D$8,4,FALSE)</f>
        <v>7</v>
      </c>
    </row>
    <row r="11" spans="1:16" ht="16" x14ac:dyDescent="0.2">
      <c r="A11" s="11" t="s">
        <v>61</v>
      </c>
      <c r="B11" s="2">
        <f>VLOOKUP('Оценки экспертов'!$B$10,Шкала!$A$4:$D$8,2,FALSE)</f>
        <v>5</v>
      </c>
      <c r="C11" s="2">
        <f>VLOOKUP('Оценки экспертов'!$B$10,Шкала!$A$4:$D$8,3,FALSE)</f>
        <v>7</v>
      </c>
      <c r="D11" s="2">
        <f>VLOOKUP('Оценки экспертов'!$B$10,Шкала!$A$4:$D$8,4,FALSE)</f>
        <v>9</v>
      </c>
      <c r="E11" s="2">
        <f>VLOOKUP('Оценки экспертов'!$C$10,Шкала!$A$4:$D$8,2,FALSE)</f>
        <v>3</v>
      </c>
      <c r="F11" s="2">
        <f>VLOOKUP('Оценки экспертов'!$C$10,Шкала!$A$4:$D$8,3,FALSE)</f>
        <v>5</v>
      </c>
      <c r="G11" s="2">
        <f>VLOOKUP('Оценки экспертов'!$C$10,Шкала!$A$4:$D$8,4,FALSE)</f>
        <v>7</v>
      </c>
      <c r="H11" s="2">
        <f>VLOOKUP('Оценки экспертов'!$D$10,Шкала!$A$4:$D$8,2,FALSE)</f>
        <v>3</v>
      </c>
      <c r="I11" s="2">
        <f>VLOOKUP('Оценки экспертов'!$D$10,Шкала!$A$4:$D$8,3,FALSE)</f>
        <v>5</v>
      </c>
      <c r="J11" s="2">
        <f>VLOOKUP('Оценки экспертов'!$D$10,Шкала!$A$4:$D$8,4,FALSE)</f>
        <v>7</v>
      </c>
      <c r="K11" s="2">
        <f>VLOOKUP('Оценки экспертов'!$E$10,Шкала!$A$4:$D$8,2,FALSE)</f>
        <v>7</v>
      </c>
      <c r="L11" s="2">
        <f>VLOOKUP('Оценки экспертов'!$E$10,Шкала!$A$4:$D$8,3,FALSE)</f>
        <v>9</v>
      </c>
      <c r="M11" s="2">
        <f>VLOOKUP('Оценки экспертов'!$E$10,Шкала!$A$4:$D$8,4,FALSE)</f>
        <v>9</v>
      </c>
      <c r="N11" s="2">
        <f>VLOOKUP('Оценки экспертов'!$F$10,Шкала!$A$4:$D$8,2,FALSE)</f>
        <v>5</v>
      </c>
      <c r="O11" s="2">
        <f>VLOOKUP('Оценки экспертов'!$F$10,Шкала!$A$4:$D$8,3,FALSE)</f>
        <v>7</v>
      </c>
      <c r="P11" s="2">
        <f>VLOOKUP('Оценки экспертов'!$F$10,Шкала!$A$4:$D$8,4,FALSE)</f>
        <v>9</v>
      </c>
    </row>
    <row r="13" spans="1:16" x14ac:dyDescent="0.2">
      <c r="A13" s="24" t="s">
        <v>62</v>
      </c>
      <c r="B13" s="25"/>
      <c r="C13" s="25"/>
      <c r="D13" s="25"/>
      <c r="E13" s="25"/>
      <c r="F13" s="25"/>
      <c r="G13" s="25"/>
      <c r="H13" s="25"/>
      <c r="I13" s="25"/>
      <c r="J13" s="25"/>
      <c r="K13" s="25"/>
      <c r="L13" s="25"/>
      <c r="M13" s="25"/>
      <c r="N13" s="25"/>
      <c r="O13" s="25"/>
      <c r="P13" s="25"/>
    </row>
    <row r="14" spans="1:16" ht="16" x14ac:dyDescent="0.2">
      <c r="A14" s="9" t="s">
        <v>1</v>
      </c>
      <c r="B14" s="26" t="s">
        <v>25</v>
      </c>
      <c r="C14" s="26"/>
      <c r="D14" s="26"/>
      <c r="E14" s="26" t="s">
        <v>28</v>
      </c>
      <c r="F14" s="26"/>
      <c r="G14" s="26"/>
      <c r="H14" s="26" t="s">
        <v>31</v>
      </c>
      <c r="I14" s="26"/>
      <c r="J14" s="26"/>
      <c r="K14" s="26" t="s">
        <v>34</v>
      </c>
      <c r="L14" s="26"/>
      <c r="M14" s="26"/>
      <c r="N14" s="26" t="s">
        <v>37</v>
      </c>
      <c r="O14" s="26"/>
      <c r="P14" s="26"/>
    </row>
    <row r="15" spans="1:16" ht="16" x14ac:dyDescent="0.2">
      <c r="A15" s="9"/>
      <c r="B15" s="9" t="s">
        <v>50</v>
      </c>
      <c r="C15" s="9" t="s">
        <v>51</v>
      </c>
      <c r="D15" s="9" t="s">
        <v>52</v>
      </c>
      <c r="E15" s="9" t="s">
        <v>50</v>
      </c>
      <c r="F15" s="9" t="s">
        <v>51</v>
      </c>
      <c r="G15" s="9" t="s">
        <v>52</v>
      </c>
      <c r="H15" s="9" t="s">
        <v>50</v>
      </c>
      <c r="I15" s="9" t="s">
        <v>51</v>
      </c>
      <c r="J15" s="9" t="s">
        <v>52</v>
      </c>
      <c r="K15" s="9" t="s">
        <v>50</v>
      </c>
      <c r="L15" s="9" t="s">
        <v>51</v>
      </c>
      <c r="M15" s="9" t="s">
        <v>52</v>
      </c>
      <c r="N15" s="9" t="s">
        <v>50</v>
      </c>
      <c r="O15" s="9" t="s">
        <v>51</v>
      </c>
      <c r="P15" s="9" t="s">
        <v>52</v>
      </c>
    </row>
    <row r="16" spans="1:16" ht="16" x14ac:dyDescent="0.2">
      <c r="A16" s="10" t="s">
        <v>6</v>
      </c>
      <c r="B16" s="2">
        <f>VLOOKUP('Оценки экспертов'!$B$14,Шкала!$A$4:$D$8,2,FALSE)</f>
        <v>7</v>
      </c>
      <c r="C16" s="2">
        <f>VLOOKUP('Оценки экспертов'!$B$14,Шкала!$A$4:$D$8,3,FALSE)</f>
        <v>9</v>
      </c>
      <c r="D16" s="2">
        <f>VLOOKUP('Оценки экспертов'!$B$14,Шкала!$A$4:$D$8,4,FALSE)</f>
        <v>9</v>
      </c>
      <c r="E16" s="2">
        <f>VLOOKUP('Оценки экспертов'!$C$14,Шкала!$A$4:$D$8,2,FALSE)</f>
        <v>3</v>
      </c>
      <c r="F16" s="2">
        <f>VLOOKUP('Оценки экспертов'!$C$14,Шкала!$A$4:$D$8,3,FALSE)</f>
        <v>5</v>
      </c>
      <c r="G16" s="2">
        <f>VLOOKUP('Оценки экспертов'!$C$14,Шкала!$A$4:$D$8,4,FALSE)</f>
        <v>7</v>
      </c>
      <c r="H16" s="2">
        <f>VLOOKUP('Оценки экспертов'!$D$14,Шкала!$A$4:$D$8,2,FALSE)</f>
        <v>3</v>
      </c>
      <c r="I16" s="2">
        <f>VLOOKUP('Оценки экспертов'!$D$14,Шкала!$A$4:$D$8,3,FALSE)</f>
        <v>5</v>
      </c>
      <c r="J16" s="2">
        <f>VLOOKUP('Оценки экспертов'!$D$14,Шкала!$A$4:$D$8,4,FALSE)</f>
        <v>7</v>
      </c>
      <c r="K16" s="2">
        <f>VLOOKUP('Оценки экспертов'!$E$14,Шкала!$A$4:$D$8,2,FALSE)</f>
        <v>5</v>
      </c>
      <c r="L16" s="2">
        <f>VLOOKUP('Оценки экспертов'!$E$14,Шкала!$A$4:$D$8,3,FALSE)</f>
        <v>7</v>
      </c>
      <c r="M16" s="2">
        <f>VLOOKUP('Оценки экспертов'!$E$14,Шкала!$A$4:$D$8,4,FALSE)</f>
        <v>9</v>
      </c>
      <c r="N16" s="2">
        <f>VLOOKUP('Оценки экспертов'!$F$14,Шкала!$A$4:$D$8,2,FALSE)</f>
        <v>5</v>
      </c>
      <c r="O16" s="2">
        <f>VLOOKUP('Оценки экспертов'!$F$14,Шкала!$A$4:$D$8,3,FALSE)</f>
        <v>7</v>
      </c>
      <c r="P16" s="2">
        <f>VLOOKUP('Оценки экспертов'!$F$14,Шкала!$A$4:$D$8,4,FALSE)</f>
        <v>9</v>
      </c>
    </row>
    <row r="17" spans="1:16" ht="16" x14ac:dyDescent="0.2">
      <c r="A17" s="10" t="s">
        <v>7</v>
      </c>
      <c r="B17" s="2">
        <f>VLOOKUP('Оценки экспертов'!$B$15,Шкала!$A$4:$D$8,2,FALSE)</f>
        <v>1</v>
      </c>
      <c r="C17" s="2">
        <f>VLOOKUP('Оценки экспертов'!$B$15,Шкала!$A$4:$D$8,3,FALSE)</f>
        <v>3</v>
      </c>
      <c r="D17" s="2">
        <f>VLOOKUP('Оценки экспертов'!$B$15,Шкала!$A$4:$D$8,4,FALSE)</f>
        <v>5</v>
      </c>
      <c r="E17" s="2">
        <f>VLOOKUP('Оценки экспертов'!$C$15,Шкала!$A$4:$D$8,2,FALSE)</f>
        <v>5</v>
      </c>
      <c r="F17" s="2">
        <f>VLOOKUP('Оценки экспертов'!$C$15,Шкала!$A$4:$D$8,3,FALSE)</f>
        <v>7</v>
      </c>
      <c r="G17" s="2">
        <f>VLOOKUP('Оценки экспертов'!$C$15,Шкала!$A$4:$D$8,4,FALSE)</f>
        <v>9</v>
      </c>
      <c r="H17" s="2">
        <f>VLOOKUP('Оценки экспертов'!$D$15,Шкала!$A$4:$D$8,2,FALSE)</f>
        <v>7</v>
      </c>
      <c r="I17" s="2">
        <f>VLOOKUP('Оценки экспертов'!$D$15,Шкала!$A$4:$D$8,3,FALSE)</f>
        <v>9</v>
      </c>
      <c r="J17" s="2">
        <f>VLOOKUP('Оценки экспертов'!$D$15,Шкала!$A$4:$D$8,4,FALSE)</f>
        <v>9</v>
      </c>
      <c r="K17" s="2">
        <f>VLOOKUP('Оценки экспертов'!$E$15,Шкала!$A$4:$D$8,2,FALSE)</f>
        <v>1</v>
      </c>
      <c r="L17" s="2">
        <f>VLOOKUP('Оценки экспертов'!$E$15,Шкала!$A$4:$D$8,3,FALSE)</f>
        <v>3</v>
      </c>
      <c r="M17" s="2">
        <f>VLOOKUP('Оценки экспертов'!$E$15,Шкала!$A$4:$D$8,4,FALSE)</f>
        <v>5</v>
      </c>
      <c r="N17" s="2">
        <f>VLOOKUP('Оценки экспертов'!$F$15,Шкала!$A$4:$D$8,2,FALSE)</f>
        <v>3</v>
      </c>
      <c r="O17" s="2">
        <f>VLOOKUP('Оценки экспертов'!$F$15,Шкала!$A$4:$D$8,3,FALSE)</f>
        <v>5</v>
      </c>
      <c r="P17" s="2">
        <f>VLOOKUP('Оценки экспертов'!$F$15,Шкала!$A$4:$D$8,4,FALSE)</f>
        <v>7</v>
      </c>
    </row>
    <row r="18" spans="1:16" ht="16" x14ac:dyDescent="0.2">
      <c r="A18" s="10" t="s">
        <v>8</v>
      </c>
      <c r="B18" s="2">
        <f>VLOOKUP('Оценки экспертов'!$B$16,Шкала!$A$4:$D$8,2,FALSE)</f>
        <v>5</v>
      </c>
      <c r="C18" s="2">
        <f>VLOOKUP('Оценки экспертов'!$B$16,Шкала!$A$4:$D$8,3,FALSE)</f>
        <v>7</v>
      </c>
      <c r="D18" s="2">
        <f>VLOOKUP('Оценки экспертов'!$B$16,Шкала!$A$4:$D$8,4,FALSE)</f>
        <v>9</v>
      </c>
      <c r="E18" s="2">
        <f>VLOOKUP('Оценки экспертов'!$C$16,Шкала!$A$4:$D$8,2,FALSE)</f>
        <v>3</v>
      </c>
      <c r="F18" s="2">
        <f>VLOOKUP('Оценки экспертов'!$C$16,Шкала!$A$4:$D$8,3,FALSE)</f>
        <v>5</v>
      </c>
      <c r="G18" s="2">
        <f>VLOOKUP('Оценки экспертов'!$C$16,Шкала!$A$4:$D$8,4,FALSE)</f>
        <v>7</v>
      </c>
      <c r="H18" s="2">
        <f>VLOOKUP('Оценки экспертов'!$D$16,Шкала!$A$4:$D$8,2,FALSE)</f>
        <v>1</v>
      </c>
      <c r="I18" s="2">
        <f>VLOOKUP('Оценки экспертов'!$D$16,Шкала!$A$4:$D$8,3,FALSE)</f>
        <v>3</v>
      </c>
      <c r="J18" s="2">
        <f>VLOOKUP('Оценки экспертов'!$D$16,Шкала!$A$4:$D$8,4,FALSE)</f>
        <v>5</v>
      </c>
      <c r="K18" s="2">
        <f>VLOOKUP('Оценки экспертов'!$E$16,Шкала!$A$4:$D$8,2,FALSE)</f>
        <v>5</v>
      </c>
      <c r="L18" s="2">
        <f>VLOOKUP('Оценки экспертов'!$E$16,Шкала!$A$4:$D$8,3,FALSE)</f>
        <v>7</v>
      </c>
      <c r="M18" s="2">
        <f>VLOOKUP('Оценки экспертов'!$E$16,Шкала!$A$4:$D$8,4,FALSE)</f>
        <v>9</v>
      </c>
      <c r="N18" s="2">
        <f>VLOOKUP('Оценки экспертов'!$F$16,Шкала!$A$4:$D$8,2,FALSE)</f>
        <v>5</v>
      </c>
      <c r="O18" s="2">
        <f>VLOOKUP('Оценки экспертов'!$F$16,Шкала!$A$4:$D$8,3,FALSE)</f>
        <v>7</v>
      </c>
      <c r="P18" s="2">
        <f>VLOOKUP('Оценки экспертов'!$F$16,Шкала!$A$4:$D$8,4,FALSE)</f>
        <v>9</v>
      </c>
    </row>
    <row r="19" spans="1:16" ht="16" x14ac:dyDescent="0.2">
      <c r="A19" s="10" t="s">
        <v>9</v>
      </c>
      <c r="B19" s="2">
        <f>VLOOKUP('Оценки экспертов'!$B$17,Шкала!$A$4:$D$8,2,FALSE)</f>
        <v>1</v>
      </c>
      <c r="C19" s="2">
        <f>VLOOKUP('Оценки экспертов'!$B$17,Шкала!$A$4:$D$8,3,FALSE)</f>
        <v>3</v>
      </c>
      <c r="D19" s="2">
        <f>VLOOKUP('Оценки экспертов'!$B$17,Шкала!$A$4:$D$8,4,FALSE)</f>
        <v>5</v>
      </c>
      <c r="E19" s="2">
        <f>VLOOKUP('Оценки экспертов'!$C$17,Шкала!$A$4:$D$8,2,FALSE)</f>
        <v>5</v>
      </c>
      <c r="F19" s="2">
        <f>VLOOKUP('Оценки экспертов'!$C$17,Шкала!$A$4:$D$8,3,FALSE)</f>
        <v>7</v>
      </c>
      <c r="G19" s="2">
        <f>VLOOKUP('Оценки экспертов'!$C$17,Шкала!$A$4:$D$8,4,FALSE)</f>
        <v>9</v>
      </c>
      <c r="H19" s="2">
        <f>VLOOKUP('Оценки экспертов'!$D$17,Шкала!$A$4:$D$8,2,FALSE)</f>
        <v>7</v>
      </c>
      <c r="I19" s="2">
        <f>VLOOKUP('Оценки экспертов'!$D$17,Шкала!$A$4:$D$8,3,FALSE)</f>
        <v>9</v>
      </c>
      <c r="J19" s="2">
        <f>VLOOKUP('Оценки экспертов'!$D$17,Шкала!$A$4:$D$8,4,FALSE)</f>
        <v>9</v>
      </c>
      <c r="K19" s="2">
        <f>VLOOKUP('Оценки экспертов'!$E$17,Шкала!$A$4:$D$8,2,FALSE)</f>
        <v>1</v>
      </c>
      <c r="L19" s="2">
        <f>VLOOKUP('Оценки экспертов'!$E$17,Шкала!$A$4:$D$8,3,FALSE)</f>
        <v>1</v>
      </c>
      <c r="M19" s="2">
        <f>VLOOKUP('Оценки экспертов'!$E$17,Шкала!$A$4:$D$8,4,FALSE)</f>
        <v>3</v>
      </c>
      <c r="N19" s="2">
        <f>VLOOKUP('Оценки экспертов'!$F$17,Шкала!$A$4:$D$8,2,FALSE)</f>
        <v>1</v>
      </c>
      <c r="O19" s="2">
        <f>VLOOKUP('Оценки экспертов'!$F$17,Шкала!$A$4:$D$8,3,FALSE)</f>
        <v>1</v>
      </c>
      <c r="P19" s="2">
        <f>VLOOKUP('Оценки экспертов'!$F$17,Шкала!$A$4:$D$8,4,FALSE)</f>
        <v>3</v>
      </c>
    </row>
    <row r="20" spans="1:16" ht="16" x14ac:dyDescent="0.2">
      <c r="A20" s="10" t="s">
        <v>10</v>
      </c>
      <c r="B20" s="2">
        <f>VLOOKUP('Оценки экспертов'!$B$18,Шкала!$A$4:$D$8,2,FALSE)</f>
        <v>5</v>
      </c>
      <c r="C20" s="2">
        <f>VLOOKUP('Оценки экспертов'!$B$18,Шкала!$A$4:$D$8,3,FALSE)</f>
        <v>7</v>
      </c>
      <c r="D20" s="2">
        <f>VLOOKUP('Оценки экспертов'!$B$18,Шкала!$A$4:$D$8,4,FALSE)</f>
        <v>9</v>
      </c>
      <c r="E20" s="2">
        <f>VLOOKUP('Оценки экспертов'!$C$18,Шкала!$A$4:$D$8,2,FALSE)</f>
        <v>3</v>
      </c>
      <c r="F20" s="2">
        <f>VLOOKUP('Оценки экспертов'!$C$18,Шкала!$A$4:$D$8,3,FALSE)</f>
        <v>5</v>
      </c>
      <c r="G20" s="2">
        <f>VLOOKUP('Оценки экспертов'!$C$18,Шкала!$A$4:$D$8,4,FALSE)</f>
        <v>7</v>
      </c>
      <c r="H20" s="2">
        <f>VLOOKUP('Оценки экспертов'!$D$18,Шкала!$A$4:$D$8,2,FALSE)</f>
        <v>1</v>
      </c>
      <c r="I20" s="2">
        <f>VLOOKUP('Оценки экспертов'!$D$18,Шкала!$A$4:$D$8,3,FALSE)</f>
        <v>3</v>
      </c>
      <c r="J20" s="2">
        <f>VLOOKUP('Оценки экспертов'!$D$18,Шкала!$A$4:$D$8,4,FALSE)</f>
        <v>5</v>
      </c>
      <c r="K20" s="2">
        <f>VLOOKUP('Оценки экспертов'!$E$18,Шкала!$A$4:$D$8,2,FALSE)</f>
        <v>5</v>
      </c>
      <c r="L20" s="2">
        <f>VLOOKUP('Оценки экспертов'!$E$18,Шкала!$A$4:$D$8,3,FALSE)</f>
        <v>7</v>
      </c>
      <c r="M20" s="2">
        <f>VLOOKUP('Оценки экспертов'!$E$18,Шкала!$A$4:$D$8,4,FALSE)</f>
        <v>9</v>
      </c>
      <c r="N20" s="2">
        <f>VLOOKUP('Оценки экспертов'!$F$18,Шкала!$A$4:$D$8,2,FALSE)</f>
        <v>5</v>
      </c>
      <c r="O20" s="2">
        <f>VLOOKUP('Оценки экспертов'!$F$18,Шкала!$A$4:$D$8,3,FALSE)</f>
        <v>7</v>
      </c>
      <c r="P20" s="2">
        <f>VLOOKUP('Оценки экспертов'!$F$18,Шкала!$A$4:$D$8,4,FALSE)</f>
        <v>9</v>
      </c>
    </row>
    <row r="21" spans="1:16" ht="16" x14ac:dyDescent="0.2">
      <c r="A21" s="11" t="s">
        <v>61</v>
      </c>
      <c r="B21" s="2">
        <f>VLOOKUP('Оценки экспертов'!$B$19,Шкала!$A$4:$D$8,2,FALSE)</f>
        <v>7</v>
      </c>
      <c r="C21" s="2">
        <f>VLOOKUP('Оценки экспертов'!$B$19,Шкала!$A$4:$D$8,3,FALSE)</f>
        <v>9</v>
      </c>
      <c r="D21" s="2">
        <f>VLOOKUP('Оценки экспертов'!$B$19,Шкала!$A$4:$D$8,4,FALSE)</f>
        <v>9</v>
      </c>
      <c r="E21" s="2">
        <f>VLOOKUP('Оценки экспертов'!$C$19,Шкала!$A$4:$D$8,2,FALSE)</f>
        <v>5</v>
      </c>
      <c r="F21" s="2">
        <f>VLOOKUP('Оценки экспертов'!$C$19,Шкала!$A$4:$D$8,3,FALSE)</f>
        <v>7</v>
      </c>
      <c r="G21" s="2">
        <f>VLOOKUP('Оценки экспертов'!$C$19,Шкала!$A$4:$D$8,4,FALSE)</f>
        <v>9</v>
      </c>
      <c r="H21" s="2">
        <f>VLOOKUP('Оценки экспертов'!$D$19,Шкала!$A$4:$D$8,2,FALSE)</f>
        <v>1</v>
      </c>
      <c r="I21" s="2">
        <f>VLOOKUP('Оценки экспертов'!$D$19,Шкала!$A$4:$D$8,3,FALSE)</f>
        <v>3</v>
      </c>
      <c r="J21" s="2">
        <f>VLOOKUP('Оценки экспертов'!$D$19,Шкала!$A$4:$D$8,4,FALSE)</f>
        <v>5</v>
      </c>
      <c r="K21" s="2">
        <f>VLOOKUP('Оценки экспертов'!$E$19,Шкала!$A$4:$D$8,2,FALSE)</f>
        <v>5</v>
      </c>
      <c r="L21" s="2">
        <f>VLOOKUP('Оценки экспертов'!$E$19,Шкала!$A$4:$D$8,3,FALSE)</f>
        <v>7</v>
      </c>
      <c r="M21" s="2">
        <f>VLOOKUP('Оценки экспертов'!$E$19,Шкала!$A$4:$D$8,4,FALSE)</f>
        <v>9</v>
      </c>
      <c r="N21" s="2">
        <f>VLOOKUP('Оценки экспертов'!$F$19,Шкала!$A$4:$D$8,2,FALSE)</f>
        <v>5</v>
      </c>
      <c r="O21" s="2">
        <f>VLOOKUP('Оценки экспертов'!$F$19,Шкала!$A$4:$D$8,3,FALSE)</f>
        <v>7</v>
      </c>
      <c r="P21" s="2">
        <f>VLOOKUP('Оценки экспертов'!$F$19,Шкала!$A$4:$D$8,4,FALSE)</f>
        <v>9</v>
      </c>
    </row>
    <row r="23" spans="1:16" x14ac:dyDescent="0.2">
      <c r="A23" s="24" t="s">
        <v>63</v>
      </c>
      <c r="B23" s="25"/>
      <c r="C23" s="25"/>
      <c r="D23" s="25"/>
      <c r="E23" s="25"/>
      <c r="F23" s="25"/>
      <c r="G23" s="25"/>
      <c r="H23" s="25"/>
      <c r="I23" s="25"/>
      <c r="J23" s="25"/>
      <c r="K23" s="25"/>
      <c r="L23" s="25"/>
      <c r="M23" s="25"/>
      <c r="N23" s="25"/>
      <c r="O23" s="25"/>
      <c r="P23" s="25"/>
    </row>
    <row r="24" spans="1:16" ht="16" x14ac:dyDescent="0.2">
      <c r="A24" s="9" t="s">
        <v>1</v>
      </c>
      <c r="B24" s="26" t="s">
        <v>25</v>
      </c>
      <c r="C24" s="26"/>
      <c r="D24" s="26"/>
      <c r="E24" s="26" t="s">
        <v>28</v>
      </c>
      <c r="F24" s="26"/>
      <c r="G24" s="26"/>
      <c r="H24" s="26" t="s">
        <v>31</v>
      </c>
      <c r="I24" s="26"/>
      <c r="J24" s="26"/>
      <c r="K24" s="26" t="s">
        <v>34</v>
      </c>
      <c r="L24" s="26"/>
      <c r="M24" s="26"/>
      <c r="N24" s="26" t="s">
        <v>37</v>
      </c>
      <c r="O24" s="26"/>
      <c r="P24" s="26"/>
    </row>
    <row r="25" spans="1:16" ht="16" x14ac:dyDescent="0.2">
      <c r="A25" s="9"/>
      <c r="B25" s="9" t="s">
        <v>50</v>
      </c>
      <c r="C25" s="9" t="s">
        <v>51</v>
      </c>
      <c r="D25" s="9" t="s">
        <v>52</v>
      </c>
      <c r="E25" s="9" t="s">
        <v>50</v>
      </c>
      <c r="F25" s="9" t="s">
        <v>51</v>
      </c>
      <c r="G25" s="9" t="s">
        <v>52</v>
      </c>
      <c r="H25" s="9" t="s">
        <v>50</v>
      </c>
      <c r="I25" s="9" t="s">
        <v>51</v>
      </c>
      <c r="J25" s="9" t="s">
        <v>52</v>
      </c>
      <c r="K25" s="9" t="s">
        <v>50</v>
      </c>
      <c r="L25" s="9" t="s">
        <v>51</v>
      </c>
      <c r="M25" s="9" t="s">
        <v>52</v>
      </c>
      <c r="N25" s="9" t="s">
        <v>50</v>
      </c>
      <c r="O25" s="9" t="s">
        <v>51</v>
      </c>
      <c r="P25" s="9" t="s">
        <v>52</v>
      </c>
    </row>
    <row r="26" spans="1:16" ht="16" x14ac:dyDescent="0.2">
      <c r="A26" s="10" t="s">
        <v>6</v>
      </c>
      <c r="B26" s="2">
        <f>VLOOKUP('Оценки экспертов'!$B$23,Шкала!$A$4:$D$8,2,FALSE)</f>
        <v>5</v>
      </c>
      <c r="C26" s="2">
        <f>VLOOKUP('Оценки экспертов'!$B$23,Шкала!$A$4:$D$8,3,FALSE)</f>
        <v>7</v>
      </c>
      <c r="D26" s="2">
        <f>VLOOKUP('Оценки экспертов'!$B$23,Шкала!$A$4:$D$8,4,FALSE)</f>
        <v>9</v>
      </c>
      <c r="E26" s="2">
        <f>VLOOKUP('Оценки экспертов'!$C$23,Шкала!$A$4:$D$8,2,FALSE)</f>
        <v>5</v>
      </c>
      <c r="F26" s="2">
        <f>VLOOKUP('Оценки экспертов'!$C$23,Шкала!$A$4:$D$8,3,FALSE)</f>
        <v>7</v>
      </c>
      <c r="G26" s="2">
        <f>VLOOKUP('Оценки экспертов'!$C$23,Шкала!$A$4:$D$8,4,FALSE)</f>
        <v>9</v>
      </c>
      <c r="H26" s="2">
        <f>VLOOKUP('Оценки экспертов'!$D$23,Шкала!$A$4:$D$8,2,FALSE)</f>
        <v>5</v>
      </c>
      <c r="I26" s="2">
        <f>VLOOKUP('Оценки экспертов'!$D$23,Шкала!$A$4:$D$8,3,FALSE)</f>
        <v>7</v>
      </c>
      <c r="J26" s="2">
        <f>VLOOKUP('Оценки экспертов'!$D$23,Шкала!$A$4:$D$8,4,FALSE)</f>
        <v>9</v>
      </c>
      <c r="K26" s="2">
        <f>VLOOKUP('Оценки экспертов'!$E$23,Шкала!$A$4:$D$8,2,FALSE)</f>
        <v>5</v>
      </c>
      <c r="L26" s="2">
        <f>VLOOKUP('Оценки экспертов'!$E$23,Шкала!$A$4:$D$8,3,FALSE)</f>
        <v>7</v>
      </c>
      <c r="M26" s="2">
        <f>VLOOKUP('Оценки экспертов'!$E$23,Шкала!$A$4:$D$8,4,FALSE)</f>
        <v>9</v>
      </c>
      <c r="N26" s="2">
        <f>VLOOKUP('Оценки экспертов'!$F$23,Шкала!$A$4:$D$8,2,FALSE)</f>
        <v>7</v>
      </c>
      <c r="O26" s="2">
        <f>VLOOKUP('Оценки экспертов'!$F$23,Шкала!$A$4:$D$8,3,FALSE)</f>
        <v>9</v>
      </c>
      <c r="P26" s="2">
        <f>VLOOKUP('Оценки экспертов'!$F$23,Шкала!$A$4:$D$8,4,FALSE)</f>
        <v>9</v>
      </c>
    </row>
    <row r="27" spans="1:16" ht="16" x14ac:dyDescent="0.2">
      <c r="A27" s="10" t="s">
        <v>7</v>
      </c>
      <c r="B27" s="2">
        <f>VLOOKUP('Оценки экспертов'!$B$24,Шкала!$A$4:$D$8,2,FALSE)</f>
        <v>1</v>
      </c>
      <c r="C27" s="2">
        <f>VLOOKUP('Оценки экспертов'!$B$24,Шкала!$A$4:$D$8,3,FALSE)</f>
        <v>1</v>
      </c>
      <c r="D27" s="2">
        <f>VLOOKUP('Оценки экспертов'!$B$24,Шкала!$A$4:$D$8,4,FALSE)</f>
        <v>3</v>
      </c>
      <c r="E27" s="2">
        <f>VLOOKUP('Оценки экспертов'!$C$24,Шкала!$A$4:$D$8,2,FALSE)</f>
        <v>5</v>
      </c>
      <c r="F27" s="2">
        <f>VLOOKUP('Оценки экспертов'!$C$24,Шкала!$A$4:$D$8,3,FALSE)</f>
        <v>7</v>
      </c>
      <c r="G27" s="2">
        <f>VLOOKUP('Оценки экспертов'!$C$24,Шкала!$A$4:$D$8,4,FALSE)</f>
        <v>9</v>
      </c>
      <c r="H27" s="2">
        <f>VLOOKUP('Оценки экспертов'!$D$24,Шкала!$A$4:$D$8,2,FALSE)</f>
        <v>5</v>
      </c>
      <c r="I27" s="2">
        <f>VLOOKUP('Оценки экспертов'!$D$24,Шкала!$A$4:$D$8,3,FALSE)</f>
        <v>7</v>
      </c>
      <c r="J27" s="2">
        <f>VLOOKUP('Оценки экспертов'!$D$24,Шкала!$A$4:$D$8,4,FALSE)</f>
        <v>9</v>
      </c>
      <c r="K27" s="2">
        <f>VLOOKUP('Оценки экспертов'!$E$24,Шкала!$A$4:$D$8,2,FALSE)</f>
        <v>1</v>
      </c>
      <c r="L27" s="2">
        <f>VLOOKUP('Оценки экспертов'!$E$24,Шкала!$A$4:$D$8,3,FALSE)</f>
        <v>3</v>
      </c>
      <c r="M27" s="2">
        <f>VLOOKUP('Оценки экспертов'!$E$24,Шкала!$A$4:$D$8,4,FALSE)</f>
        <v>5</v>
      </c>
      <c r="N27" s="2">
        <f>VLOOKUP('Оценки экспертов'!$F$24,Шкала!$A$4:$D$8,2,FALSE)</f>
        <v>1</v>
      </c>
      <c r="O27" s="2">
        <f>VLOOKUP('Оценки экспертов'!$F$24,Шкала!$A$4:$D$8,3,FALSE)</f>
        <v>3</v>
      </c>
      <c r="P27" s="2">
        <f>VLOOKUP('Оценки экспертов'!$F$24,Шкала!$A$4:$D$8,4,FALSE)</f>
        <v>5</v>
      </c>
    </row>
    <row r="28" spans="1:16" ht="16" x14ac:dyDescent="0.2">
      <c r="A28" s="10" t="s">
        <v>8</v>
      </c>
      <c r="B28" s="2">
        <f>VLOOKUP('Оценки экспертов'!$B$25,Шкала!$A$4:$D$8,2,FALSE)</f>
        <v>3</v>
      </c>
      <c r="C28" s="2">
        <f>VLOOKUP('Оценки экспертов'!$B$25,Шкала!$A$4:$D$8,3,FALSE)</f>
        <v>5</v>
      </c>
      <c r="D28" s="2">
        <f>VLOOKUP('Оценки экспертов'!$B$25,Шкала!$A$4:$D$8,4,FALSE)</f>
        <v>7</v>
      </c>
      <c r="E28" s="2">
        <f>VLOOKUP('Оценки экспертов'!$C$25,Шкала!$A$4:$D$8,2,FALSE)</f>
        <v>5</v>
      </c>
      <c r="F28" s="2">
        <f>VLOOKUP('Оценки экспертов'!$C$25,Шкала!$A$4:$D$8,3,FALSE)</f>
        <v>7</v>
      </c>
      <c r="G28" s="2">
        <f>VLOOKUP('Оценки экспертов'!$C$25,Шкала!$A$4:$D$8,4,FALSE)</f>
        <v>9</v>
      </c>
      <c r="H28" s="2">
        <f>VLOOKUP('Оценки экспертов'!$D$25,Шкала!$A$4:$D$8,2,FALSE)</f>
        <v>3</v>
      </c>
      <c r="I28" s="2">
        <f>VLOOKUP('Оценки экспертов'!$D$25,Шкала!$A$4:$D$8,3,FALSE)</f>
        <v>5</v>
      </c>
      <c r="J28" s="2">
        <f>VLOOKUP('Оценки экспертов'!$D$25,Шкала!$A$4:$D$8,4,FALSE)</f>
        <v>7</v>
      </c>
      <c r="K28" s="2">
        <f>VLOOKUP('Оценки экспертов'!$E$25,Шкала!$A$4:$D$8,2,FALSE)</f>
        <v>3</v>
      </c>
      <c r="L28" s="2">
        <f>VLOOKUP('Оценки экспертов'!$E$25,Шкала!$A$4:$D$8,3,FALSE)</f>
        <v>5</v>
      </c>
      <c r="M28" s="2">
        <f>VLOOKUP('Оценки экспертов'!$E$25,Шкала!$A$4:$D$8,4,FALSE)</f>
        <v>7</v>
      </c>
      <c r="N28" s="2">
        <f>VLOOKUP('Оценки экспертов'!$F$25,Шкала!$A$4:$D$8,2,FALSE)</f>
        <v>3</v>
      </c>
      <c r="O28" s="2">
        <f>VLOOKUP('Оценки экспертов'!$F$25,Шкала!$A$4:$D$8,3,FALSE)</f>
        <v>5</v>
      </c>
      <c r="P28" s="2">
        <f>VLOOKUP('Оценки экспертов'!$F$25,Шкала!$A$4:$D$8,4,FALSE)</f>
        <v>7</v>
      </c>
    </row>
    <row r="29" spans="1:16" ht="16" x14ac:dyDescent="0.2">
      <c r="A29" s="10" t="s">
        <v>9</v>
      </c>
      <c r="B29" s="2">
        <f>VLOOKUP('Оценки экспертов'!$B$26,Шкала!$A$4:$D$8,2,FALSE)</f>
        <v>1</v>
      </c>
      <c r="C29" s="2">
        <f>VLOOKUP('Оценки экспертов'!$B$26,Шкала!$A$4:$D$8,3,FALSE)</f>
        <v>1</v>
      </c>
      <c r="D29" s="2">
        <f>VLOOKUP('Оценки экспертов'!$B$26,Шкала!$A$4:$D$8,4,FALSE)</f>
        <v>3</v>
      </c>
      <c r="E29" s="2">
        <f>VLOOKUP('Оценки экспертов'!$C$26,Шкала!$A$4:$D$8,2,FALSE)</f>
        <v>3</v>
      </c>
      <c r="F29" s="2">
        <f>VLOOKUP('Оценки экспертов'!$C$26,Шкала!$A$4:$D$8,3,FALSE)</f>
        <v>5</v>
      </c>
      <c r="G29" s="2">
        <f>VLOOKUP('Оценки экспертов'!$C$26,Шкала!$A$4:$D$8,4,FALSE)</f>
        <v>7</v>
      </c>
      <c r="H29" s="2">
        <f>VLOOKUP('Оценки экспертов'!$D$26,Шкала!$A$4:$D$8,2,FALSE)</f>
        <v>5</v>
      </c>
      <c r="I29" s="2">
        <f>VLOOKUP('Оценки экспертов'!$D$26,Шкала!$A$4:$D$8,3,FALSE)</f>
        <v>7</v>
      </c>
      <c r="J29" s="2">
        <f>VLOOKUP('Оценки экспертов'!$D$26,Шкала!$A$4:$D$8,4,FALSE)</f>
        <v>9</v>
      </c>
      <c r="K29" s="2">
        <f>VLOOKUP('Оценки экспертов'!$E$26,Шкала!$A$4:$D$8,2,FALSE)</f>
        <v>1</v>
      </c>
      <c r="L29" s="2">
        <f>VLOOKUP('Оценки экспертов'!$E$26,Шкала!$A$4:$D$8,3,FALSE)</f>
        <v>3</v>
      </c>
      <c r="M29" s="2">
        <f>VLOOKUP('Оценки экспертов'!$E$26,Шкала!$A$4:$D$8,4,FALSE)</f>
        <v>5</v>
      </c>
      <c r="N29" s="2">
        <f>VLOOKUP('Оценки экспертов'!$F$26,Шкала!$A$4:$D$8,2,FALSE)</f>
        <v>1</v>
      </c>
      <c r="O29" s="2">
        <f>VLOOKUP('Оценки экспертов'!$F$26,Шкала!$A$4:$D$8,3,FALSE)</f>
        <v>3</v>
      </c>
      <c r="P29" s="2">
        <f>VLOOKUP('Оценки экспертов'!$F$26,Шкала!$A$4:$D$8,4,FALSE)</f>
        <v>5</v>
      </c>
    </row>
    <row r="30" spans="1:16" ht="16" x14ac:dyDescent="0.2">
      <c r="A30" s="10" t="s">
        <v>10</v>
      </c>
      <c r="B30" s="2">
        <f>VLOOKUP('Оценки экспертов'!$B$27,Шкала!$A$4:$D$8,2,FALSE)</f>
        <v>7</v>
      </c>
      <c r="C30" s="2">
        <f>VLOOKUP('Оценки экспертов'!$B$27,Шкала!$A$4:$D$8,3,FALSE)</f>
        <v>9</v>
      </c>
      <c r="D30" s="2">
        <f>VLOOKUP('Оценки экспертов'!$B$27,Шкала!$A$4:$D$8,4,FALSE)</f>
        <v>9</v>
      </c>
      <c r="E30" s="2">
        <f>VLOOKUP('Оценки экспертов'!$C$27,Шкала!$A$4:$D$8,2,FALSE)</f>
        <v>1</v>
      </c>
      <c r="F30" s="2">
        <f>VLOOKUP('Оценки экспертов'!$C$27,Шкала!$A$4:$D$8,3,FALSE)</f>
        <v>3</v>
      </c>
      <c r="G30" s="2">
        <f>VLOOKUP('Оценки экспертов'!$C$27,Шкала!$A$4:$D$8,4,FALSE)</f>
        <v>5</v>
      </c>
      <c r="H30" s="2">
        <f>VLOOKUP('Оценки экспертов'!$D$27,Шкала!$A$4:$D$8,2,FALSE)</f>
        <v>3</v>
      </c>
      <c r="I30" s="2">
        <f>VLOOKUP('Оценки экспертов'!$D$27,Шкала!$A$4:$D$8,3,FALSE)</f>
        <v>5</v>
      </c>
      <c r="J30" s="2">
        <f>VLOOKUP('Оценки экспертов'!$D$27,Шкала!$A$4:$D$8,4,FALSE)</f>
        <v>7</v>
      </c>
      <c r="K30" s="2">
        <f>VLOOKUP('Оценки экспертов'!$E$27,Шкала!$A$4:$D$8,2,FALSE)</f>
        <v>7</v>
      </c>
      <c r="L30" s="2">
        <f>VLOOKUP('Оценки экспертов'!$E$27,Шкала!$A$4:$D$8,3,FALSE)</f>
        <v>9</v>
      </c>
      <c r="M30" s="2">
        <f>VLOOKUP('Оценки экспертов'!$E$27,Шкала!$A$4:$D$8,4,FALSE)</f>
        <v>9</v>
      </c>
      <c r="N30" s="2">
        <f>VLOOKUP('Оценки экспертов'!$F$27,Шкала!$A$4:$D$8,2,FALSE)</f>
        <v>3</v>
      </c>
      <c r="O30" s="2">
        <f>VLOOKUP('Оценки экспертов'!$F$27,Шкала!$A$4:$D$8,3,FALSE)</f>
        <v>5</v>
      </c>
      <c r="P30" s="2">
        <f>VLOOKUP('Оценки экспертов'!$F$27,Шкала!$A$4:$D$8,4,FALSE)</f>
        <v>7</v>
      </c>
    </row>
    <row r="31" spans="1:16" ht="16" x14ac:dyDescent="0.2">
      <c r="A31" s="11" t="s">
        <v>61</v>
      </c>
      <c r="B31" s="2">
        <f>VLOOKUP('Оценки экспертов'!$B$28,Шкала!$A$4:$D$8,2,FALSE)</f>
        <v>5</v>
      </c>
      <c r="C31" s="2">
        <f>VLOOKUP('Оценки экспертов'!$B$28,Шкала!$A$4:$D$8,3,FALSE)</f>
        <v>7</v>
      </c>
      <c r="D31" s="2">
        <f>VLOOKUP('Оценки экспертов'!$B$28,Шкала!$A$4:$D$8,4,FALSE)</f>
        <v>9</v>
      </c>
      <c r="E31" s="2">
        <f>VLOOKUP('Оценки экспертов'!$C$28,Шкала!$A$4:$D$8,2,FALSE)</f>
        <v>3</v>
      </c>
      <c r="F31" s="2">
        <f>VLOOKUP('Оценки экспертов'!$C$28,Шкала!$A$4:$D$8,3,FALSE)</f>
        <v>5</v>
      </c>
      <c r="G31" s="2">
        <f>VLOOKUP('Оценки экспертов'!$C$28,Шкала!$A$4:$D$8,4,FALSE)</f>
        <v>7</v>
      </c>
      <c r="H31" s="2">
        <f>VLOOKUP('Оценки экспертов'!$D$28,Шкала!$A$4:$D$8,2,FALSE)</f>
        <v>3</v>
      </c>
      <c r="I31" s="2">
        <f>VLOOKUP('Оценки экспертов'!$D$28,Шкала!$A$4:$D$8,3,FALSE)</f>
        <v>5</v>
      </c>
      <c r="J31" s="2">
        <f>VLOOKUP('Оценки экспертов'!$D$28,Шкала!$A$4:$D$8,4,FALSE)</f>
        <v>7</v>
      </c>
      <c r="K31" s="2">
        <f>VLOOKUP('Оценки экспертов'!$E$28,Шкала!$A$4:$D$8,2,FALSE)</f>
        <v>5</v>
      </c>
      <c r="L31" s="2">
        <f>VLOOKUP('Оценки экспертов'!$E$28,Шкала!$A$4:$D$8,3,FALSE)</f>
        <v>7</v>
      </c>
      <c r="M31" s="2">
        <f>VLOOKUP('Оценки экспертов'!$E$28,Шкала!$A$4:$D$8,4,FALSE)</f>
        <v>9</v>
      </c>
      <c r="N31" s="2">
        <f>VLOOKUP('Оценки экспертов'!$F$28,Шкала!$A$4:$D$8,2,FALSE)</f>
        <v>7</v>
      </c>
      <c r="O31" s="2">
        <f>VLOOKUP('Оценки экспертов'!$F$28,Шкала!$A$4:$D$8,3,FALSE)</f>
        <v>9</v>
      </c>
      <c r="P31" s="2">
        <f>VLOOKUP('Оценки экспертов'!$F$28,Шкала!$A$4:$D$8,4,FALSE)</f>
        <v>9</v>
      </c>
    </row>
  </sheetData>
  <mergeCells count="19">
    <mergeCell ref="B24:D24"/>
    <mergeCell ref="H24:J24"/>
    <mergeCell ref="N24:P24"/>
    <mergeCell ref="H14:J14"/>
    <mergeCell ref="A1:P1"/>
    <mergeCell ref="K4:M4"/>
    <mergeCell ref="B4:D4"/>
    <mergeCell ref="N4:P4"/>
    <mergeCell ref="E24:G24"/>
    <mergeCell ref="K24:M24"/>
    <mergeCell ref="E14:G14"/>
    <mergeCell ref="H4:J4"/>
    <mergeCell ref="E4:G4"/>
    <mergeCell ref="A3:P3"/>
    <mergeCell ref="B14:D14"/>
    <mergeCell ref="A23:P23"/>
    <mergeCell ref="N14:P14"/>
    <mergeCell ref="A13:P13"/>
    <mergeCell ref="K14:M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5"/>
  <sheetViews>
    <sheetView workbookViewId="0"/>
  </sheetViews>
  <sheetFormatPr baseColWidth="10" defaultColWidth="8.83203125" defaultRowHeight="15" x14ac:dyDescent="0.2"/>
  <cols>
    <col min="1" max="1" width="24" customWidth="1"/>
    <col min="2" max="16" width="7.5" customWidth="1"/>
    <col min="17" max="17" width="12" customWidth="1"/>
    <col min="18" max="29" width="7.5" customWidth="1"/>
  </cols>
  <sheetData>
    <row r="1" spans="1:16" ht="22" customHeight="1" x14ac:dyDescent="0.2">
      <c r="A1" s="21" t="s">
        <v>65</v>
      </c>
      <c r="B1" s="22"/>
      <c r="C1" s="22"/>
      <c r="D1" s="22"/>
      <c r="E1" s="22"/>
      <c r="F1" s="22"/>
      <c r="G1" s="22"/>
      <c r="H1" s="22"/>
      <c r="I1" s="22"/>
      <c r="J1" s="22"/>
      <c r="K1" s="22"/>
      <c r="L1" s="22"/>
      <c r="M1" s="22"/>
      <c r="N1" s="22"/>
      <c r="O1" s="22"/>
      <c r="P1" s="22"/>
    </row>
    <row r="2" spans="1:16" ht="16" x14ac:dyDescent="0.2">
      <c r="A2" s="9" t="s">
        <v>1</v>
      </c>
      <c r="B2" s="26" t="s">
        <v>25</v>
      </c>
      <c r="C2" s="26"/>
      <c r="D2" s="26"/>
      <c r="E2" s="26" t="s">
        <v>28</v>
      </c>
      <c r="F2" s="26"/>
      <c r="G2" s="26"/>
      <c r="H2" s="26" t="s">
        <v>31</v>
      </c>
      <c r="I2" s="26"/>
      <c r="J2" s="26"/>
      <c r="K2" s="26" t="s">
        <v>34</v>
      </c>
      <c r="L2" s="26"/>
      <c r="M2" s="26"/>
      <c r="N2" s="26" t="s">
        <v>37</v>
      </c>
      <c r="O2" s="26"/>
      <c r="P2" s="26"/>
    </row>
    <row r="3" spans="1:16" ht="16" x14ac:dyDescent="0.2">
      <c r="A3" s="9"/>
      <c r="B3" s="9" t="s">
        <v>50</v>
      </c>
      <c r="C3" s="9" t="s">
        <v>51</v>
      </c>
      <c r="D3" s="9" t="s">
        <v>52</v>
      </c>
      <c r="E3" s="9" t="s">
        <v>50</v>
      </c>
      <c r="F3" s="9" t="s">
        <v>51</v>
      </c>
      <c r="G3" s="9" t="s">
        <v>52</v>
      </c>
      <c r="H3" s="9" t="s">
        <v>50</v>
      </c>
      <c r="I3" s="9" t="s">
        <v>51</v>
      </c>
      <c r="J3" s="9" t="s">
        <v>52</v>
      </c>
      <c r="K3" s="9" t="s">
        <v>50</v>
      </c>
      <c r="L3" s="9" t="s">
        <v>51</v>
      </c>
      <c r="M3" s="9" t="s">
        <v>52</v>
      </c>
      <c r="N3" s="9" t="s">
        <v>50</v>
      </c>
      <c r="O3" s="9" t="s">
        <v>51</v>
      </c>
      <c r="P3" s="9" t="s">
        <v>52</v>
      </c>
    </row>
    <row r="4" spans="1:16" ht="16" x14ac:dyDescent="0.2">
      <c r="A4" s="10" t="s">
        <v>6</v>
      </c>
      <c r="B4" s="12">
        <f>MIN('Нечёткие оценки'!B6,'Нечёткие оценки'!B16,'Нечёткие оценки'!B26)</f>
        <v>5</v>
      </c>
      <c r="C4" s="12">
        <f>AVERAGE('Нечёткие оценки'!C6,'Нечёткие оценки'!C16,'Нечёткие оценки'!C26)</f>
        <v>7.666666666666667</v>
      </c>
      <c r="D4" s="12">
        <f>MAX('Нечёткие оценки'!D6,'Нечёткие оценки'!D16,'Нечёткие оценки'!D26)</f>
        <v>9</v>
      </c>
      <c r="E4" s="12">
        <f>MIN('Нечёткие оценки'!E6,'Нечёткие оценки'!E16,'Нечёткие оценки'!E26)</f>
        <v>3</v>
      </c>
      <c r="F4" s="12">
        <f>AVERAGE('Нечёткие оценки'!F6,'Нечёткие оценки'!F16,'Нечёткие оценки'!F26)</f>
        <v>6.333333333333333</v>
      </c>
      <c r="G4" s="12">
        <f>MAX('Нечёткие оценки'!G6,'Нечёткие оценки'!G16,'Нечёткие оценки'!G26)</f>
        <v>9</v>
      </c>
      <c r="H4" s="12">
        <f>MIN('Нечёткие оценки'!H6,'Нечёткие оценки'!H16,'Нечёткие оценки'!H26)</f>
        <v>3</v>
      </c>
      <c r="I4" s="12">
        <f>AVERAGE('Нечёткие оценки'!I6,'Нечёткие оценки'!I16,'Нечёткие оценки'!I26)</f>
        <v>5.666666666666667</v>
      </c>
      <c r="J4" s="12">
        <f>MAX('Нечёткие оценки'!J6,'Нечёткие оценки'!J16,'Нечёткие оценки'!J26)</f>
        <v>9</v>
      </c>
      <c r="K4" s="12">
        <f>MIN('Нечёткие оценки'!K6,'Нечёткие оценки'!K16,'Нечёткие оценки'!K26)</f>
        <v>5</v>
      </c>
      <c r="L4" s="12">
        <f>AVERAGE('Нечёткие оценки'!L6,'Нечёткие оценки'!L16,'Нечёткие оценки'!L26)</f>
        <v>7.666666666666667</v>
      </c>
      <c r="M4" s="12">
        <f>MAX('Нечёткие оценки'!M6,'Нечёткие оценки'!M16,'Нечёткие оценки'!M26)</f>
        <v>9</v>
      </c>
      <c r="N4" s="12">
        <f>MIN('Нечёткие оценки'!N6,'Нечёткие оценки'!N16,'Нечёткие оценки'!N26)</f>
        <v>5</v>
      </c>
      <c r="O4" s="12">
        <f>AVERAGE('Нечёткие оценки'!O6,'Нечёткие оценки'!O16,'Нечёткие оценки'!O26)</f>
        <v>8.3333333333333339</v>
      </c>
      <c r="P4" s="12">
        <f>MAX('Нечёткие оценки'!P6,'Нечёткие оценки'!P16,'Нечёткие оценки'!P26)</f>
        <v>9</v>
      </c>
    </row>
    <row r="5" spans="1:16" ht="16" x14ac:dyDescent="0.2">
      <c r="A5" s="10" t="s">
        <v>7</v>
      </c>
      <c r="B5" s="12">
        <f>MIN('Нечёткие оценки'!B7,'Нечёткие оценки'!B17,'Нечёткие оценки'!B27)</f>
        <v>1</v>
      </c>
      <c r="C5" s="12">
        <f>AVERAGE('Нечёткие оценки'!C7,'Нечёткие оценки'!C17,'Нечёткие оценки'!C27)</f>
        <v>2.3333333333333335</v>
      </c>
      <c r="D5" s="12">
        <f>MAX('Нечёткие оценки'!D7,'Нечёткие оценки'!D17,'Нечёткие оценки'!D27)</f>
        <v>5</v>
      </c>
      <c r="E5" s="12">
        <f>MIN('Нечёткие оценки'!E7,'Нечёткие оценки'!E17,'Нечёткие оценки'!E27)</f>
        <v>5</v>
      </c>
      <c r="F5" s="12">
        <f>AVERAGE('Нечёткие оценки'!F7,'Нечёткие оценки'!F17,'Нечёткие оценки'!F27)</f>
        <v>7.666666666666667</v>
      </c>
      <c r="G5" s="12">
        <f>MAX('Нечёткие оценки'!G7,'Нечёткие оценки'!G17,'Нечёткие оценки'!G27)</f>
        <v>9</v>
      </c>
      <c r="H5" s="12">
        <f>MIN('Нечёткие оценки'!H7,'Нечёткие оценки'!H17,'Нечёткие оценки'!H27)</f>
        <v>5</v>
      </c>
      <c r="I5" s="12">
        <f>AVERAGE('Нечёткие оценки'!I7,'Нечёткие оценки'!I17,'Нечёткие оценки'!I27)</f>
        <v>8.3333333333333339</v>
      </c>
      <c r="J5" s="12">
        <f>MAX('Нечёткие оценки'!J7,'Нечёткие оценки'!J17,'Нечёткие оценки'!J27)</f>
        <v>9</v>
      </c>
      <c r="K5" s="12">
        <f>MIN('Нечёткие оценки'!K7,'Нечёткие оценки'!K17,'Нечёткие оценки'!K27)</f>
        <v>1</v>
      </c>
      <c r="L5" s="12">
        <f>AVERAGE('Нечёткие оценки'!L7,'Нечёткие оценки'!L17,'Нечёткие оценки'!L27)</f>
        <v>3</v>
      </c>
      <c r="M5" s="12">
        <f>MAX('Нечёткие оценки'!M7,'Нечёткие оценки'!M17,'Нечёткие оценки'!M27)</f>
        <v>5</v>
      </c>
      <c r="N5" s="12">
        <f>MIN('Нечёткие оценки'!N7,'Нечёткие оценки'!N17,'Нечёткие оценки'!N27)</f>
        <v>1</v>
      </c>
      <c r="O5" s="12">
        <f>AVERAGE('Нечёткие оценки'!O7,'Нечёткие оценки'!O17,'Нечёткие оценки'!O27)</f>
        <v>4.333333333333333</v>
      </c>
      <c r="P5" s="12">
        <f>MAX('Нечёткие оценки'!P7,'Нечёткие оценки'!P17,'Нечёткие оценки'!P27)</f>
        <v>7</v>
      </c>
    </row>
    <row r="6" spans="1:16" ht="16" x14ac:dyDescent="0.2">
      <c r="A6" s="10" t="s">
        <v>8</v>
      </c>
      <c r="B6" s="12">
        <f>MIN('Нечёткие оценки'!B8,'Нечёткие оценки'!B18,'Нечёткие оценки'!B28)</f>
        <v>3</v>
      </c>
      <c r="C6" s="12">
        <f>AVERAGE('Нечёткие оценки'!C8,'Нечёткие оценки'!C18,'Нечёткие оценки'!C28)</f>
        <v>5.666666666666667</v>
      </c>
      <c r="D6" s="12">
        <f>MAX('Нечёткие оценки'!D8,'Нечёткие оценки'!D18,'Нечёткие оценки'!D28)</f>
        <v>9</v>
      </c>
      <c r="E6" s="12">
        <f>MIN('Нечёткие оценки'!E8,'Нечёткие оценки'!E18,'Нечёткие оценки'!E28)</f>
        <v>3</v>
      </c>
      <c r="F6" s="12">
        <f>AVERAGE('Нечёткие оценки'!F8,'Нечёткие оценки'!F18,'Нечёткие оценки'!F28)</f>
        <v>5.666666666666667</v>
      </c>
      <c r="G6" s="12">
        <f>MAX('Нечёткие оценки'!G8,'Нечёткие оценки'!G18,'Нечёткие оценки'!G28)</f>
        <v>9</v>
      </c>
      <c r="H6" s="12">
        <f>MIN('Нечёткие оценки'!H8,'Нечёткие оценки'!H18,'Нечёткие оценки'!H28)</f>
        <v>1</v>
      </c>
      <c r="I6" s="12">
        <f>AVERAGE('Нечёткие оценки'!I8,'Нечёткие оценки'!I18,'Нечёткие оценки'!I28)</f>
        <v>3.6666666666666665</v>
      </c>
      <c r="J6" s="12">
        <f>MAX('Нечёткие оценки'!J8,'Нечёткие оценки'!J18,'Нечёткие оценки'!J28)</f>
        <v>7</v>
      </c>
      <c r="K6" s="12">
        <f>MIN('Нечёткие оценки'!K8,'Нечёткие оценки'!K18,'Нечёткие оценки'!K28)</f>
        <v>3</v>
      </c>
      <c r="L6" s="12">
        <f>AVERAGE('Нечёткие оценки'!L8,'Нечёткие оценки'!L18,'Нечёткие оценки'!L28)</f>
        <v>5.666666666666667</v>
      </c>
      <c r="M6" s="12">
        <f>MAX('Нечёткие оценки'!M8,'Нечёткие оценки'!M18,'Нечёткие оценки'!M28)</f>
        <v>9</v>
      </c>
      <c r="N6" s="12">
        <f>MIN('Нечёткие оценки'!N8,'Нечёткие оценки'!N18,'Нечёткие оценки'!N28)</f>
        <v>3</v>
      </c>
      <c r="O6" s="12">
        <f>AVERAGE('Нечёткие оценки'!O8,'Нечёткие оценки'!O18,'Нечёткие оценки'!O28)</f>
        <v>6.333333333333333</v>
      </c>
      <c r="P6" s="12">
        <f>MAX('Нечёткие оценки'!P8,'Нечёткие оценки'!P18,'Нечёткие оценки'!P28)</f>
        <v>9</v>
      </c>
    </row>
    <row r="7" spans="1:16" ht="16" x14ac:dyDescent="0.2">
      <c r="A7" s="10" t="s">
        <v>9</v>
      </c>
      <c r="B7" s="12">
        <f>MIN('Нечёткие оценки'!B9,'Нечёткие оценки'!B19,'Нечёткие оценки'!B29)</f>
        <v>1</v>
      </c>
      <c r="C7" s="12">
        <f>AVERAGE('Нечёткие оценки'!C9,'Нечёткие оценки'!C19,'Нечёткие оценки'!C29)</f>
        <v>1.6666666666666667</v>
      </c>
      <c r="D7" s="12">
        <f>MAX('Нечёткие оценки'!D9,'Нечёткие оценки'!D19,'Нечёткие оценки'!D29)</f>
        <v>5</v>
      </c>
      <c r="E7" s="12">
        <f>MIN('Нечёткие оценки'!E9,'Нечёткие оценки'!E19,'Нечёткие оценки'!E29)</f>
        <v>3</v>
      </c>
      <c r="F7" s="12">
        <f>AVERAGE('Нечёткие оценки'!F9,'Нечёткие оценки'!F19,'Нечёткие оценки'!F29)</f>
        <v>5.666666666666667</v>
      </c>
      <c r="G7" s="12">
        <f>MAX('Нечёткие оценки'!G9,'Нечёткие оценки'!G19,'Нечёткие оценки'!G29)</f>
        <v>9</v>
      </c>
      <c r="H7" s="12">
        <f>MIN('Нечёткие оценки'!H9,'Нечёткие оценки'!H19,'Нечёткие оценки'!H29)</f>
        <v>5</v>
      </c>
      <c r="I7" s="12">
        <f>AVERAGE('Нечёткие оценки'!I9,'Нечёткие оценки'!I19,'Нечёткие оценки'!I29)</f>
        <v>7.666666666666667</v>
      </c>
      <c r="J7" s="12">
        <f>MAX('Нечёткие оценки'!J9,'Нечёткие оценки'!J19,'Нечёткие оценки'!J29)</f>
        <v>9</v>
      </c>
      <c r="K7" s="12">
        <f>MIN('Нечёткие оценки'!K9,'Нечёткие оценки'!K19,'Нечёткие оценки'!K29)</f>
        <v>1</v>
      </c>
      <c r="L7" s="12">
        <f>AVERAGE('Нечёткие оценки'!L9,'Нечёткие оценки'!L19,'Нечёткие оценки'!L29)</f>
        <v>1.6666666666666667</v>
      </c>
      <c r="M7" s="12">
        <f>MAX('Нечёткие оценки'!M9,'Нечёткие оценки'!M19,'Нечёткие оценки'!M29)</f>
        <v>5</v>
      </c>
      <c r="N7" s="12">
        <f>MIN('Нечёткие оценки'!N9,'Нечёткие оценки'!N19,'Нечёткие оценки'!N29)</f>
        <v>1</v>
      </c>
      <c r="O7" s="12">
        <f>AVERAGE('Нечёткие оценки'!O9,'Нечёткие оценки'!O19,'Нечёткие оценки'!O29)</f>
        <v>2.3333333333333335</v>
      </c>
      <c r="P7" s="12">
        <f>MAX('Нечёткие оценки'!P9,'Нечёткие оценки'!P19,'Нечёткие оценки'!P29)</f>
        <v>5</v>
      </c>
    </row>
    <row r="8" spans="1:16" ht="16" x14ac:dyDescent="0.2">
      <c r="A8" s="10" t="s">
        <v>10</v>
      </c>
      <c r="B8" s="12">
        <f>MIN('Нечёткие оценки'!B10,'Нечёткие оценки'!B20,'Нечёткие оценки'!B30)</f>
        <v>5</v>
      </c>
      <c r="C8" s="12">
        <f>AVERAGE('Нечёткие оценки'!C10,'Нечёткие оценки'!C20,'Нечёткие оценки'!C30)</f>
        <v>7.666666666666667</v>
      </c>
      <c r="D8" s="12">
        <f>MAX('Нечёткие оценки'!D10,'Нечёткие оценки'!D20,'Нечёткие оценки'!D30)</f>
        <v>9</v>
      </c>
      <c r="E8" s="12">
        <f>MIN('Нечёткие оценки'!E10,'Нечёткие оценки'!E20,'Нечёткие оценки'!E30)</f>
        <v>1</v>
      </c>
      <c r="F8" s="12">
        <f>AVERAGE('Нечёткие оценки'!F10,'Нечёткие оценки'!F20,'Нечёткие оценки'!F30)</f>
        <v>3.6666666666666665</v>
      </c>
      <c r="G8" s="12">
        <f>MAX('Нечёткие оценки'!G10,'Нечёткие оценки'!G20,'Нечёткие оценки'!G30)</f>
        <v>7</v>
      </c>
      <c r="H8" s="12">
        <f>MIN('Нечёткие оценки'!H10,'Нечёткие оценки'!H20,'Нечёткие оценки'!H30)</f>
        <v>1</v>
      </c>
      <c r="I8" s="12">
        <f>AVERAGE('Нечёткие оценки'!I10,'Нечёткие оценки'!I20,'Нечёткие оценки'!I30)</f>
        <v>4.333333333333333</v>
      </c>
      <c r="J8" s="12">
        <f>MAX('Нечёткие оценки'!J10,'Нечёткие оценки'!J20,'Нечёткие оценки'!J30)</f>
        <v>7</v>
      </c>
      <c r="K8" s="12">
        <f>MIN('Нечёткие оценки'!K10,'Нечёткие оценки'!K20,'Нечёткие оценки'!K30)</f>
        <v>5</v>
      </c>
      <c r="L8" s="12">
        <f>AVERAGE('Нечёткие оценки'!L10,'Нечёткие оценки'!L20,'Нечёткие оценки'!L30)</f>
        <v>7.666666666666667</v>
      </c>
      <c r="M8" s="12">
        <f>MAX('Нечёткие оценки'!M10,'Нечёткие оценки'!M20,'Нечёткие оценки'!M30)</f>
        <v>9</v>
      </c>
      <c r="N8" s="12">
        <f>MIN('Нечёткие оценки'!N10,'Нечёткие оценки'!N20,'Нечёткие оценки'!N30)</f>
        <v>3</v>
      </c>
      <c r="O8" s="12">
        <f>AVERAGE('Нечёткие оценки'!O10,'Нечёткие оценки'!O20,'Нечёткие оценки'!O30)</f>
        <v>5.666666666666667</v>
      </c>
      <c r="P8" s="12">
        <f>MAX('Нечёткие оценки'!P10,'Нечёткие оценки'!P20,'Нечёткие оценки'!P30)</f>
        <v>9</v>
      </c>
    </row>
    <row r="9" spans="1:16" ht="16" x14ac:dyDescent="0.2">
      <c r="A9" s="11" t="s">
        <v>66</v>
      </c>
      <c r="B9" s="12">
        <f>MIN('Нечёткие оценки'!B11,'Нечёткие оценки'!B21,'Нечёткие оценки'!B31)</f>
        <v>5</v>
      </c>
      <c r="C9" s="12">
        <f>AVERAGE('Нечёткие оценки'!C11,'Нечёткие оценки'!C21,'Нечёткие оценки'!C31)</f>
        <v>7.666666666666667</v>
      </c>
      <c r="D9" s="12">
        <f>MAX('Нечёткие оценки'!D11,'Нечёткие оценки'!D21,'Нечёткие оценки'!D31)</f>
        <v>9</v>
      </c>
      <c r="E9" s="12">
        <f>MIN('Нечёткие оценки'!E11,'Нечёткие оценки'!E21,'Нечёткие оценки'!E31)</f>
        <v>3</v>
      </c>
      <c r="F9" s="12">
        <f>AVERAGE('Нечёткие оценки'!F11,'Нечёткие оценки'!F21,'Нечёткие оценки'!F31)</f>
        <v>5.666666666666667</v>
      </c>
      <c r="G9" s="12">
        <f>MAX('Нечёткие оценки'!G11,'Нечёткие оценки'!G21,'Нечёткие оценки'!G31)</f>
        <v>9</v>
      </c>
      <c r="H9" s="12">
        <f>MIN('Нечёткие оценки'!H11,'Нечёткие оценки'!H21,'Нечёткие оценки'!H31)</f>
        <v>1</v>
      </c>
      <c r="I9" s="12">
        <f>AVERAGE('Нечёткие оценки'!I11,'Нечёткие оценки'!I21,'Нечёткие оценки'!I31)</f>
        <v>4.333333333333333</v>
      </c>
      <c r="J9" s="12">
        <f>MAX('Нечёткие оценки'!J11,'Нечёткие оценки'!J21,'Нечёткие оценки'!J31)</f>
        <v>7</v>
      </c>
      <c r="K9" s="12">
        <f>MIN('Нечёткие оценки'!K11,'Нечёткие оценки'!K21,'Нечёткие оценки'!K31)</f>
        <v>5</v>
      </c>
      <c r="L9" s="12">
        <f>AVERAGE('Нечёткие оценки'!L11,'Нечёткие оценки'!L21,'Нечёткие оценки'!L31)</f>
        <v>7.666666666666667</v>
      </c>
      <c r="M9" s="12">
        <f>MAX('Нечёткие оценки'!M11,'Нечёткие оценки'!M21,'Нечёткие оценки'!M31)</f>
        <v>9</v>
      </c>
      <c r="N9" s="12">
        <f>MIN('Нечёткие оценки'!N11,'Нечёткие оценки'!N21,'Нечёткие оценки'!N31)</f>
        <v>5</v>
      </c>
      <c r="O9" s="12">
        <f>AVERAGE('Нечёткие оценки'!O11,'Нечёткие оценки'!O21,'Нечёткие оценки'!O31)</f>
        <v>7.666666666666667</v>
      </c>
      <c r="P9" s="12">
        <f>MAX('Нечёткие оценки'!P11,'Нечёткие оценки'!P21,'Нечёткие оценки'!P31)</f>
        <v>9</v>
      </c>
    </row>
    <row r="11" spans="1:16" ht="22" customHeight="1" x14ac:dyDescent="0.2">
      <c r="A11" s="21" t="s">
        <v>67</v>
      </c>
      <c r="B11" s="22"/>
      <c r="C11" s="22"/>
      <c r="D11" s="22"/>
      <c r="E11" s="22"/>
      <c r="F11" s="22"/>
      <c r="G11" s="22"/>
      <c r="H11" s="22"/>
      <c r="I11" s="22"/>
      <c r="J11" s="22"/>
      <c r="K11" s="22"/>
      <c r="L11" s="22"/>
      <c r="M11" s="22"/>
      <c r="N11" s="22"/>
      <c r="O11" s="22"/>
      <c r="P11" s="22"/>
    </row>
    <row r="12" spans="1:16" ht="16" x14ac:dyDescent="0.2">
      <c r="A12" s="9" t="s">
        <v>1</v>
      </c>
      <c r="B12" s="26" t="s">
        <v>25</v>
      </c>
      <c r="C12" s="26"/>
      <c r="D12" s="26"/>
      <c r="E12" s="26" t="s">
        <v>28</v>
      </c>
      <c r="F12" s="26"/>
      <c r="G12" s="26"/>
      <c r="H12" s="26" t="s">
        <v>31</v>
      </c>
      <c r="I12" s="26"/>
      <c r="J12" s="26"/>
      <c r="K12" s="26" t="s">
        <v>34</v>
      </c>
      <c r="L12" s="26"/>
      <c r="M12" s="26"/>
      <c r="N12" s="26" t="s">
        <v>37</v>
      </c>
      <c r="O12" s="26"/>
      <c r="P12" s="26"/>
    </row>
    <row r="13" spans="1:16" ht="16" x14ac:dyDescent="0.2">
      <c r="A13" s="9"/>
      <c r="B13" s="9" t="s">
        <v>50</v>
      </c>
      <c r="C13" s="9" t="s">
        <v>51</v>
      </c>
      <c r="D13" s="9" t="s">
        <v>52</v>
      </c>
      <c r="E13" s="9" t="s">
        <v>50</v>
      </c>
      <c r="F13" s="9" t="s">
        <v>51</v>
      </c>
      <c r="G13" s="9" t="s">
        <v>52</v>
      </c>
      <c r="H13" s="9" t="s">
        <v>50</v>
      </c>
      <c r="I13" s="9" t="s">
        <v>51</v>
      </c>
      <c r="J13" s="9" t="s">
        <v>52</v>
      </c>
      <c r="K13" s="9" t="s">
        <v>50</v>
      </c>
      <c r="L13" s="9" t="s">
        <v>51</v>
      </c>
      <c r="M13" s="9" t="s">
        <v>52</v>
      </c>
      <c r="N13" s="9" t="s">
        <v>50</v>
      </c>
      <c r="O13" s="9" t="s">
        <v>51</v>
      </c>
      <c r="P13" s="9" t="s">
        <v>52</v>
      </c>
    </row>
    <row r="14" spans="1:16" ht="16" x14ac:dyDescent="0.2">
      <c r="A14" s="10" t="s">
        <v>6</v>
      </c>
      <c r="B14" s="13">
        <f t="shared" ref="B14:D18" si="0">B4/MAX($D$4:$D$8)</f>
        <v>0.55555555555555558</v>
      </c>
      <c r="C14" s="13">
        <f t="shared" si="0"/>
        <v>0.85185185185185186</v>
      </c>
      <c r="D14" s="13">
        <f t="shared" si="0"/>
        <v>1</v>
      </c>
      <c r="E14" s="13">
        <f t="shared" ref="E14:G18" si="1">E4/MAX($G$4:$G$8)</f>
        <v>0.33333333333333331</v>
      </c>
      <c r="F14" s="13">
        <f t="shared" si="1"/>
        <v>0.70370370370370372</v>
      </c>
      <c r="G14" s="13">
        <f t="shared" si="1"/>
        <v>1</v>
      </c>
      <c r="H14" s="13">
        <f t="shared" ref="H14:J18" si="2">H4/MAX($J$4:$J$8)</f>
        <v>0.33333333333333331</v>
      </c>
      <c r="I14" s="13">
        <f t="shared" si="2"/>
        <v>0.62962962962962965</v>
      </c>
      <c r="J14" s="13">
        <f t="shared" si="2"/>
        <v>1</v>
      </c>
      <c r="K14" s="13">
        <f t="shared" ref="K14:M18" si="3">K4/MAX($M$4:$M$8)</f>
        <v>0.55555555555555558</v>
      </c>
      <c r="L14" s="13">
        <f t="shared" si="3"/>
        <v>0.85185185185185186</v>
      </c>
      <c r="M14" s="13">
        <f t="shared" si="3"/>
        <v>1</v>
      </c>
      <c r="N14" s="13">
        <f t="shared" ref="N14:P18" si="4">N4/MAX($P$4:$P$8)</f>
        <v>0.55555555555555558</v>
      </c>
      <c r="O14" s="13">
        <f t="shared" si="4"/>
        <v>0.92592592592592604</v>
      </c>
      <c r="P14" s="13">
        <f t="shared" si="4"/>
        <v>1</v>
      </c>
    </row>
    <row r="15" spans="1:16" ht="16" x14ac:dyDescent="0.2">
      <c r="A15" s="10" t="s">
        <v>7</v>
      </c>
      <c r="B15" s="13">
        <f t="shared" si="0"/>
        <v>0.1111111111111111</v>
      </c>
      <c r="C15" s="13">
        <f t="shared" si="0"/>
        <v>0.2592592592592593</v>
      </c>
      <c r="D15" s="13">
        <f t="shared" si="0"/>
        <v>0.55555555555555558</v>
      </c>
      <c r="E15" s="13">
        <f t="shared" si="1"/>
        <v>0.55555555555555558</v>
      </c>
      <c r="F15" s="13">
        <f t="shared" si="1"/>
        <v>0.85185185185185186</v>
      </c>
      <c r="G15" s="13">
        <f t="shared" si="1"/>
        <v>1</v>
      </c>
      <c r="H15" s="13">
        <f t="shared" si="2"/>
        <v>0.55555555555555558</v>
      </c>
      <c r="I15" s="13">
        <f t="shared" si="2"/>
        <v>0.92592592592592604</v>
      </c>
      <c r="J15" s="13">
        <f t="shared" si="2"/>
        <v>1</v>
      </c>
      <c r="K15" s="13">
        <f t="shared" si="3"/>
        <v>0.1111111111111111</v>
      </c>
      <c r="L15" s="13">
        <f t="shared" si="3"/>
        <v>0.33333333333333331</v>
      </c>
      <c r="M15" s="13">
        <f t="shared" si="3"/>
        <v>0.55555555555555558</v>
      </c>
      <c r="N15" s="13">
        <f t="shared" si="4"/>
        <v>0.1111111111111111</v>
      </c>
      <c r="O15" s="13">
        <f t="shared" si="4"/>
        <v>0.48148148148148145</v>
      </c>
      <c r="P15" s="13">
        <f t="shared" si="4"/>
        <v>0.77777777777777779</v>
      </c>
    </row>
    <row r="16" spans="1:16" ht="16" x14ac:dyDescent="0.2">
      <c r="A16" s="10" t="s">
        <v>8</v>
      </c>
      <c r="B16" s="13">
        <f t="shared" si="0"/>
        <v>0.33333333333333331</v>
      </c>
      <c r="C16" s="13">
        <f t="shared" si="0"/>
        <v>0.62962962962962965</v>
      </c>
      <c r="D16" s="13">
        <f t="shared" si="0"/>
        <v>1</v>
      </c>
      <c r="E16" s="13">
        <f t="shared" si="1"/>
        <v>0.33333333333333331</v>
      </c>
      <c r="F16" s="13">
        <f t="shared" si="1"/>
        <v>0.62962962962962965</v>
      </c>
      <c r="G16" s="13">
        <f t="shared" si="1"/>
        <v>1</v>
      </c>
      <c r="H16" s="13">
        <f t="shared" si="2"/>
        <v>0.1111111111111111</v>
      </c>
      <c r="I16" s="13">
        <f t="shared" si="2"/>
        <v>0.40740740740740738</v>
      </c>
      <c r="J16" s="13">
        <f t="shared" si="2"/>
        <v>0.77777777777777779</v>
      </c>
      <c r="K16" s="13">
        <f t="shared" si="3"/>
        <v>0.33333333333333331</v>
      </c>
      <c r="L16" s="13">
        <f t="shared" si="3"/>
        <v>0.62962962962962965</v>
      </c>
      <c r="M16" s="13">
        <f t="shared" si="3"/>
        <v>1</v>
      </c>
      <c r="N16" s="13">
        <f t="shared" si="4"/>
        <v>0.33333333333333331</v>
      </c>
      <c r="O16" s="13">
        <f t="shared" si="4"/>
        <v>0.70370370370370372</v>
      </c>
      <c r="P16" s="13">
        <f t="shared" si="4"/>
        <v>1</v>
      </c>
    </row>
    <row r="17" spans="1:17" ht="16" x14ac:dyDescent="0.2">
      <c r="A17" s="10" t="s">
        <v>9</v>
      </c>
      <c r="B17" s="13">
        <f t="shared" si="0"/>
        <v>0.1111111111111111</v>
      </c>
      <c r="C17" s="13">
        <f t="shared" si="0"/>
        <v>0.1851851851851852</v>
      </c>
      <c r="D17" s="13">
        <f t="shared" si="0"/>
        <v>0.55555555555555558</v>
      </c>
      <c r="E17" s="13">
        <f t="shared" si="1"/>
        <v>0.33333333333333331</v>
      </c>
      <c r="F17" s="13">
        <f t="shared" si="1"/>
        <v>0.62962962962962965</v>
      </c>
      <c r="G17" s="13">
        <f t="shared" si="1"/>
        <v>1</v>
      </c>
      <c r="H17" s="13">
        <f t="shared" si="2"/>
        <v>0.55555555555555558</v>
      </c>
      <c r="I17" s="13">
        <f t="shared" si="2"/>
        <v>0.85185185185185186</v>
      </c>
      <c r="J17" s="13">
        <f t="shared" si="2"/>
        <v>1</v>
      </c>
      <c r="K17" s="13">
        <f t="shared" si="3"/>
        <v>0.1111111111111111</v>
      </c>
      <c r="L17" s="13">
        <f t="shared" si="3"/>
        <v>0.1851851851851852</v>
      </c>
      <c r="M17" s="13">
        <f t="shared" si="3"/>
        <v>0.55555555555555558</v>
      </c>
      <c r="N17" s="13">
        <f t="shared" si="4"/>
        <v>0.1111111111111111</v>
      </c>
      <c r="O17" s="13">
        <f t="shared" si="4"/>
        <v>0.2592592592592593</v>
      </c>
      <c r="P17" s="13">
        <f t="shared" si="4"/>
        <v>0.55555555555555558</v>
      </c>
    </row>
    <row r="18" spans="1:17" ht="16" x14ac:dyDescent="0.2">
      <c r="A18" s="10" t="s">
        <v>10</v>
      </c>
      <c r="B18" s="13">
        <f t="shared" si="0"/>
        <v>0.55555555555555558</v>
      </c>
      <c r="C18" s="13">
        <f t="shared" si="0"/>
        <v>0.85185185185185186</v>
      </c>
      <c r="D18" s="13">
        <f t="shared" si="0"/>
        <v>1</v>
      </c>
      <c r="E18" s="13">
        <f t="shared" si="1"/>
        <v>0.1111111111111111</v>
      </c>
      <c r="F18" s="13">
        <f t="shared" si="1"/>
        <v>0.40740740740740738</v>
      </c>
      <c r="G18" s="13">
        <f t="shared" si="1"/>
        <v>0.77777777777777779</v>
      </c>
      <c r="H18" s="13">
        <f t="shared" si="2"/>
        <v>0.1111111111111111</v>
      </c>
      <c r="I18" s="13">
        <f t="shared" si="2"/>
        <v>0.48148148148148145</v>
      </c>
      <c r="J18" s="13">
        <f t="shared" si="2"/>
        <v>0.77777777777777779</v>
      </c>
      <c r="K18" s="13">
        <f t="shared" si="3"/>
        <v>0.55555555555555558</v>
      </c>
      <c r="L18" s="13">
        <f t="shared" si="3"/>
        <v>0.85185185185185186</v>
      </c>
      <c r="M18" s="13">
        <f t="shared" si="3"/>
        <v>1</v>
      </c>
      <c r="N18" s="13">
        <f t="shared" si="4"/>
        <v>0.33333333333333331</v>
      </c>
      <c r="O18" s="13">
        <f t="shared" si="4"/>
        <v>0.62962962962962965</v>
      </c>
      <c r="P18" s="13">
        <f t="shared" si="4"/>
        <v>1</v>
      </c>
    </row>
    <row r="20" spans="1:17" ht="22" customHeight="1" x14ac:dyDescent="0.2">
      <c r="A20" s="21" t="s">
        <v>68</v>
      </c>
      <c r="B20" s="22"/>
      <c r="C20" s="22"/>
      <c r="D20" s="22"/>
      <c r="E20" s="22"/>
      <c r="F20" s="22"/>
      <c r="G20" s="22"/>
      <c r="H20" s="22"/>
      <c r="I20" s="22"/>
      <c r="J20" s="22"/>
      <c r="K20" s="22"/>
      <c r="L20" s="22"/>
      <c r="M20" s="22"/>
      <c r="N20" s="22"/>
      <c r="O20" s="22"/>
      <c r="P20" s="22"/>
    </row>
    <row r="21" spans="1:17" ht="16" x14ac:dyDescent="0.2">
      <c r="A21" s="9" t="s">
        <v>1</v>
      </c>
      <c r="B21" s="26" t="s">
        <v>25</v>
      </c>
      <c r="C21" s="26"/>
      <c r="D21" s="26"/>
      <c r="E21" s="26" t="s">
        <v>28</v>
      </c>
      <c r="F21" s="26"/>
      <c r="G21" s="26"/>
      <c r="H21" s="26" t="s">
        <v>31</v>
      </c>
      <c r="I21" s="26"/>
      <c r="J21" s="26"/>
      <c r="K21" s="26" t="s">
        <v>34</v>
      </c>
      <c r="L21" s="26"/>
      <c r="M21" s="26"/>
      <c r="N21" s="26" t="s">
        <v>37</v>
      </c>
      <c r="O21" s="26"/>
      <c r="P21" s="26"/>
    </row>
    <row r="22" spans="1:17" ht="16" x14ac:dyDescent="0.2">
      <c r="A22" s="9"/>
      <c r="B22" s="9" t="s">
        <v>50</v>
      </c>
      <c r="C22" s="9" t="s">
        <v>51</v>
      </c>
      <c r="D22" s="9" t="s">
        <v>52</v>
      </c>
      <c r="E22" s="9" t="s">
        <v>50</v>
      </c>
      <c r="F22" s="9" t="s">
        <v>51</v>
      </c>
      <c r="G22" s="9" t="s">
        <v>52</v>
      </c>
      <c r="H22" s="9" t="s">
        <v>50</v>
      </c>
      <c r="I22" s="9" t="s">
        <v>51</v>
      </c>
      <c r="J22" s="9" t="s">
        <v>52</v>
      </c>
      <c r="K22" s="9" t="s">
        <v>50</v>
      </c>
      <c r="L22" s="9" t="s">
        <v>51</v>
      </c>
      <c r="M22" s="9" t="s">
        <v>52</v>
      </c>
      <c r="N22" s="9" t="s">
        <v>50</v>
      </c>
      <c r="O22" s="9" t="s">
        <v>51</v>
      </c>
      <c r="P22" s="9" t="s">
        <v>52</v>
      </c>
    </row>
    <row r="23" spans="1:17" ht="16" x14ac:dyDescent="0.2">
      <c r="A23" s="10" t="s">
        <v>6</v>
      </c>
      <c r="B23" s="13">
        <f t="shared" ref="B23:P23" si="5">B14*B$9</f>
        <v>2.7777777777777777</v>
      </c>
      <c r="C23" s="13">
        <f t="shared" si="5"/>
        <v>6.5308641975308648</v>
      </c>
      <c r="D23" s="13">
        <f t="shared" si="5"/>
        <v>9</v>
      </c>
      <c r="E23" s="13">
        <f t="shared" si="5"/>
        <v>1</v>
      </c>
      <c r="F23" s="13">
        <f t="shared" si="5"/>
        <v>3.9876543209876547</v>
      </c>
      <c r="G23" s="13">
        <f t="shared" si="5"/>
        <v>9</v>
      </c>
      <c r="H23" s="13">
        <f t="shared" si="5"/>
        <v>0.33333333333333331</v>
      </c>
      <c r="I23" s="13">
        <f t="shared" si="5"/>
        <v>2.7283950617283947</v>
      </c>
      <c r="J23" s="13">
        <f t="shared" si="5"/>
        <v>7</v>
      </c>
      <c r="K23" s="13">
        <f t="shared" si="5"/>
        <v>2.7777777777777777</v>
      </c>
      <c r="L23" s="13">
        <f t="shared" si="5"/>
        <v>6.5308641975308648</v>
      </c>
      <c r="M23" s="13">
        <f t="shared" si="5"/>
        <v>9</v>
      </c>
      <c r="N23" s="13">
        <f t="shared" si="5"/>
        <v>2.7777777777777777</v>
      </c>
      <c r="O23" s="13">
        <f t="shared" si="5"/>
        <v>7.0987654320987668</v>
      </c>
      <c r="P23" s="13">
        <f t="shared" si="5"/>
        <v>9</v>
      </c>
    </row>
    <row r="24" spans="1:17" ht="16" x14ac:dyDescent="0.2">
      <c r="A24" s="10" t="s">
        <v>7</v>
      </c>
      <c r="B24" s="13">
        <f t="shared" ref="B24:P24" si="6">B15*B$9</f>
        <v>0.55555555555555558</v>
      </c>
      <c r="C24" s="13">
        <f t="shared" si="6"/>
        <v>1.9876543209876547</v>
      </c>
      <c r="D24" s="13">
        <f t="shared" si="6"/>
        <v>5</v>
      </c>
      <c r="E24" s="13">
        <f t="shared" si="6"/>
        <v>1.6666666666666667</v>
      </c>
      <c r="F24" s="13">
        <f t="shared" si="6"/>
        <v>4.8271604938271606</v>
      </c>
      <c r="G24" s="13">
        <f t="shared" si="6"/>
        <v>9</v>
      </c>
      <c r="H24" s="13">
        <f t="shared" si="6"/>
        <v>0.55555555555555558</v>
      </c>
      <c r="I24" s="13">
        <f t="shared" si="6"/>
        <v>4.0123456790123457</v>
      </c>
      <c r="J24" s="13">
        <f t="shared" si="6"/>
        <v>7</v>
      </c>
      <c r="K24" s="13">
        <f t="shared" si="6"/>
        <v>0.55555555555555558</v>
      </c>
      <c r="L24" s="13">
        <f t="shared" si="6"/>
        <v>2.5555555555555554</v>
      </c>
      <c r="M24" s="13">
        <f t="shared" si="6"/>
        <v>5</v>
      </c>
      <c r="N24" s="13">
        <f t="shared" si="6"/>
        <v>0.55555555555555558</v>
      </c>
      <c r="O24" s="13">
        <f t="shared" si="6"/>
        <v>3.691358024691358</v>
      </c>
      <c r="P24" s="13">
        <f t="shared" si="6"/>
        <v>7</v>
      </c>
    </row>
    <row r="25" spans="1:17" ht="16" x14ac:dyDescent="0.2">
      <c r="A25" s="10" t="s">
        <v>8</v>
      </c>
      <c r="B25" s="13">
        <f t="shared" ref="B25:P25" si="7">B16*B$9</f>
        <v>1.6666666666666665</v>
      </c>
      <c r="C25" s="13">
        <f t="shared" si="7"/>
        <v>4.8271604938271606</v>
      </c>
      <c r="D25" s="13">
        <f t="shared" si="7"/>
        <v>9</v>
      </c>
      <c r="E25" s="13">
        <f t="shared" si="7"/>
        <v>1</v>
      </c>
      <c r="F25" s="13">
        <f t="shared" si="7"/>
        <v>3.5679012345679015</v>
      </c>
      <c r="G25" s="13">
        <f t="shared" si="7"/>
        <v>9</v>
      </c>
      <c r="H25" s="13">
        <f t="shared" si="7"/>
        <v>0.1111111111111111</v>
      </c>
      <c r="I25" s="13">
        <f t="shared" si="7"/>
        <v>1.7654320987654319</v>
      </c>
      <c r="J25" s="13">
        <f t="shared" si="7"/>
        <v>5.4444444444444446</v>
      </c>
      <c r="K25" s="13">
        <f t="shared" si="7"/>
        <v>1.6666666666666665</v>
      </c>
      <c r="L25" s="13">
        <f t="shared" si="7"/>
        <v>4.8271604938271606</v>
      </c>
      <c r="M25" s="13">
        <f t="shared" si="7"/>
        <v>9</v>
      </c>
      <c r="N25" s="13">
        <f t="shared" si="7"/>
        <v>1.6666666666666665</v>
      </c>
      <c r="O25" s="13">
        <f t="shared" si="7"/>
        <v>5.3950617283950617</v>
      </c>
      <c r="P25" s="13">
        <f t="shared" si="7"/>
        <v>9</v>
      </c>
    </row>
    <row r="26" spans="1:17" ht="16" x14ac:dyDescent="0.2">
      <c r="A26" s="10" t="s">
        <v>9</v>
      </c>
      <c r="B26" s="13">
        <f t="shared" ref="B26:P26" si="8">B17*B$9</f>
        <v>0.55555555555555558</v>
      </c>
      <c r="C26" s="13">
        <f t="shared" si="8"/>
        <v>1.4197530864197532</v>
      </c>
      <c r="D26" s="13">
        <f t="shared" si="8"/>
        <v>5</v>
      </c>
      <c r="E26" s="13">
        <f t="shared" si="8"/>
        <v>1</v>
      </c>
      <c r="F26" s="13">
        <f t="shared" si="8"/>
        <v>3.5679012345679015</v>
      </c>
      <c r="G26" s="13">
        <f t="shared" si="8"/>
        <v>9</v>
      </c>
      <c r="H26" s="13">
        <f t="shared" si="8"/>
        <v>0.55555555555555558</v>
      </c>
      <c r="I26" s="13">
        <f t="shared" si="8"/>
        <v>3.691358024691358</v>
      </c>
      <c r="J26" s="13">
        <f t="shared" si="8"/>
        <v>7</v>
      </c>
      <c r="K26" s="13">
        <f t="shared" si="8"/>
        <v>0.55555555555555558</v>
      </c>
      <c r="L26" s="13">
        <f t="shared" si="8"/>
        <v>1.4197530864197532</v>
      </c>
      <c r="M26" s="13">
        <f t="shared" si="8"/>
        <v>5</v>
      </c>
      <c r="N26" s="13">
        <f t="shared" si="8"/>
        <v>0.55555555555555558</v>
      </c>
      <c r="O26" s="13">
        <f t="shared" si="8"/>
        <v>1.9876543209876547</v>
      </c>
      <c r="P26" s="13">
        <f t="shared" si="8"/>
        <v>5</v>
      </c>
    </row>
    <row r="27" spans="1:17" ht="16" x14ac:dyDescent="0.2">
      <c r="A27" s="10" t="s">
        <v>10</v>
      </c>
      <c r="B27" s="13">
        <f t="shared" ref="B27:P27" si="9">B18*B$9</f>
        <v>2.7777777777777777</v>
      </c>
      <c r="C27" s="13">
        <f t="shared" si="9"/>
        <v>6.5308641975308648</v>
      </c>
      <c r="D27" s="13">
        <f t="shared" si="9"/>
        <v>9</v>
      </c>
      <c r="E27" s="13">
        <f t="shared" si="9"/>
        <v>0.33333333333333331</v>
      </c>
      <c r="F27" s="13">
        <f t="shared" si="9"/>
        <v>2.308641975308642</v>
      </c>
      <c r="G27" s="13">
        <f t="shared" si="9"/>
        <v>7</v>
      </c>
      <c r="H27" s="13">
        <f t="shared" si="9"/>
        <v>0.1111111111111111</v>
      </c>
      <c r="I27" s="13">
        <f t="shared" si="9"/>
        <v>2.0864197530864197</v>
      </c>
      <c r="J27" s="13">
        <f t="shared" si="9"/>
        <v>5.4444444444444446</v>
      </c>
      <c r="K27" s="13">
        <f t="shared" si="9"/>
        <v>2.7777777777777777</v>
      </c>
      <c r="L27" s="13">
        <f t="shared" si="9"/>
        <v>6.5308641975308648</v>
      </c>
      <c r="M27" s="13">
        <f t="shared" si="9"/>
        <v>9</v>
      </c>
      <c r="N27" s="13">
        <f t="shared" si="9"/>
        <v>1.6666666666666665</v>
      </c>
      <c r="O27" s="13">
        <f t="shared" si="9"/>
        <v>4.8271604938271606</v>
      </c>
      <c r="P27" s="13">
        <f t="shared" si="9"/>
        <v>9</v>
      </c>
    </row>
    <row r="28" spans="1:17" ht="16" x14ac:dyDescent="0.2">
      <c r="A28" s="11" t="s">
        <v>69</v>
      </c>
      <c r="B28" s="14">
        <f t="shared" ref="B28:P28" si="10">MAX(B23:B27)</f>
        <v>2.7777777777777777</v>
      </c>
      <c r="C28" s="14">
        <f t="shared" si="10"/>
        <v>6.5308641975308648</v>
      </c>
      <c r="D28" s="14">
        <f t="shared" si="10"/>
        <v>9</v>
      </c>
      <c r="E28" s="14">
        <f t="shared" si="10"/>
        <v>1.6666666666666667</v>
      </c>
      <c r="F28" s="14">
        <f t="shared" si="10"/>
        <v>4.8271604938271606</v>
      </c>
      <c r="G28" s="14">
        <f t="shared" si="10"/>
        <v>9</v>
      </c>
      <c r="H28" s="14">
        <f t="shared" si="10"/>
        <v>0.55555555555555558</v>
      </c>
      <c r="I28" s="14">
        <f t="shared" si="10"/>
        <v>4.0123456790123457</v>
      </c>
      <c r="J28" s="14">
        <f t="shared" si="10"/>
        <v>7</v>
      </c>
      <c r="K28" s="14">
        <f t="shared" si="10"/>
        <v>2.7777777777777777</v>
      </c>
      <c r="L28" s="14">
        <f t="shared" si="10"/>
        <v>6.5308641975308648</v>
      </c>
      <c r="M28" s="14">
        <f t="shared" si="10"/>
        <v>9</v>
      </c>
      <c r="N28" s="14">
        <f t="shared" si="10"/>
        <v>2.7777777777777777</v>
      </c>
      <c r="O28" s="14">
        <f t="shared" si="10"/>
        <v>7.0987654320987668</v>
      </c>
      <c r="P28" s="14">
        <f t="shared" si="10"/>
        <v>9</v>
      </c>
    </row>
    <row r="29" spans="1:17" ht="16" x14ac:dyDescent="0.2">
      <c r="A29" s="11" t="s">
        <v>70</v>
      </c>
      <c r="B29" s="14">
        <f t="shared" ref="B29:P29" si="11">MIN(B23:B27)</f>
        <v>0.55555555555555558</v>
      </c>
      <c r="C29" s="14">
        <f t="shared" si="11"/>
        <v>1.4197530864197532</v>
      </c>
      <c r="D29" s="14">
        <f t="shared" si="11"/>
        <v>5</v>
      </c>
      <c r="E29" s="14">
        <f t="shared" si="11"/>
        <v>0.33333333333333331</v>
      </c>
      <c r="F29" s="14">
        <f t="shared" si="11"/>
        <v>2.308641975308642</v>
      </c>
      <c r="G29" s="14">
        <f t="shared" si="11"/>
        <v>7</v>
      </c>
      <c r="H29" s="14">
        <f t="shared" si="11"/>
        <v>0.1111111111111111</v>
      </c>
      <c r="I29" s="14">
        <f t="shared" si="11"/>
        <v>1.7654320987654319</v>
      </c>
      <c r="J29" s="14">
        <f t="shared" si="11"/>
        <v>5.4444444444444446</v>
      </c>
      <c r="K29" s="14">
        <f t="shared" si="11"/>
        <v>0.55555555555555558</v>
      </c>
      <c r="L29" s="14">
        <f t="shared" si="11"/>
        <v>1.4197530864197532</v>
      </c>
      <c r="M29" s="14">
        <f t="shared" si="11"/>
        <v>5</v>
      </c>
      <c r="N29" s="14">
        <f t="shared" si="11"/>
        <v>0.55555555555555558</v>
      </c>
      <c r="O29" s="14">
        <f t="shared" si="11"/>
        <v>1.9876543209876547</v>
      </c>
      <c r="P29" s="14">
        <f t="shared" si="11"/>
        <v>5</v>
      </c>
    </row>
    <row r="31" spans="1:17" ht="22" customHeight="1" x14ac:dyDescent="0.2">
      <c r="A31" s="21" t="s">
        <v>71</v>
      </c>
      <c r="B31" s="22"/>
      <c r="C31" s="22"/>
      <c r="D31" s="22"/>
      <c r="E31" s="22"/>
      <c r="F31" s="22"/>
      <c r="G31" s="22"/>
      <c r="H31" s="22"/>
      <c r="I31" s="22"/>
      <c r="J31" s="22"/>
      <c r="K31" s="22"/>
      <c r="L31" s="22"/>
      <c r="M31" s="22"/>
      <c r="N31" s="22"/>
      <c r="O31" s="22"/>
      <c r="P31" s="22"/>
    </row>
    <row r="32" spans="1:17" ht="16" x14ac:dyDescent="0.2">
      <c r="A32" s="9" t="s">
        <v>1</v>
      </c>
      <c r="B32" s="26" t="s">
        <v>25</v>
      </c>
      <c r="C32" s="26"/>
      <c r="D32" s="26"/>
      <c r="E32" s="26" t="s">
        <v>28</v>
      </c>
      <c r="F32" s="26"/>
      <c r="G32" s="26"/>
      <c r="H32" s="26" t="s">
        <v>31</v>
      </c>
      <c r="I32" s="26"/>
      <c r="J32" s="26"/>
      <c r="K32" s="26" t="s">
        <v>34</v>
      </c>
      <c r="L32" s="26"/>
      <c r="M32" s="26"/>
      <c r="N32" s="26" t="s">
        <v>37</v>
      </c>
      <c r="O32" s="26"/>
      <c r="P32" s="26"/>
      <c r="Q32" s="9" t="s">
        <v>2</v>
      </c>
    </row>
    <row r="33" spans="1:17" ht="16" x14ac:dyDescent="0.2">
      <c r="A33" s="10" t="s">
        <v>6</v>
      </c>
      <c r="B33" s="27">
        <f>SQRT((1/3)*((B23-B$28)^2+(C23-C$28)^2+(D23-D$28)^2))</f>
        <v>0</v>
      </c>
      <c r="C33" s="28"/>
      <c r="D33" s="28"/>
      <c r="E33" s="27">
        <f>SQRT((1/3)*((E23-E$28)^2+(F23-F$28)^2+(G23-G$28)^2))</f>
        <v>0.618927852198213</v>
      </c>
      <c r="F33" s="28"/>
      <c r="G33" s="28"/>
      <c r="H33" s="27">
        <f>SQRT((1/3)*((H23-H$28)^2+(I23-I$28)^2+(J23-J$28)^2))</f>
        <v>0.75231019836084934</v>
      </c>
      <c r="I33" s="28"/>
      <c r="J33" s="28"/>
      <c r="K33" s="27">
        <f>SQRT((1/3)*((K23-K$28)^2+(L23-L$28)^2+(M23-M$28)^2))</f>
        <v>0</v>
      </c>
      <c r="L33" s="28"/>
      <c r="M33" s="28"/>
      <c r="N33" s="27">
        <f>SQRT((1/3)*((N23-N$28)^2+(O23-O$28)^2+(P23-P$28)^2))</f>
        <v>0</v>
      </c>
      <c r="O33" s="28"/>
      <c r="P33" s="28"/>
      <c r="Q33" s="15">
        <f>SUM(B33,E33,H33,K33,N33)</f>
        <v>1.3712380505590622</v>
      </c>
    </row>
    <row r="34" spans="1:17" ht="16" x14ac:dyDescent="0.2">
      <c r="A34" s="10" t="s">
        <v>7</v>
      </c>
      <c r="B34" s="27">
        <f>SQRT((1/3)*((B24-B$28)^2+(C24-C$28)^2+(D24-D$28)^2))</f>
        <v>3.7228585606250673</v>
      </c>
      <c r="C34" s="28"/>
      <c r="D34" s="28"/>
      <c r="E34" s="27">
        <f>SQRT((1/3)*((E24-E$28)^2+(F24-F$28)^2+(G24-G$28)^2))</f>
        <v>0</v>
      </c>
      <c r="F34" s="28"/>
      <c r="G34" s="28"/>
      <c r="H34" s="27">
        <f>SQRT((1/3)*((H24-H$28)^2+(I24-I$28)^2+(J24-J$28)^2))</f>
        <v>0</v>
      </c>
      <c r="I34" s="28"/>
      <c r="J34" s="28"/>
      <c r="K34" s="27">
        <f>SQRT((1/3)*((K24-K$28)^2+(L24-L$28)^2+(M24-M$28)^2))</f>
        <v>3.4995880902329941</v>
      </c>
      <c r="L34" s="28"/>
      <c r="M34" s="28"/>
      <c r="N34" s="27">
        <f>SQRT((1/3)*((N24-N$28)^2+(O24-O$28)^2+(P24-P$28)^2))</f>
        <v>2.6171674793558237</v>
      </c>
      <c r="O34" s="28"/>
      <c r="P34" s="28"/>
      <c r="Q34" s="15">
        <f>SUM(B34,E34,H34,K34,N34)</f>
        <v>9.8396141302138851</v>
      </c>
    </row>
    <row r="35" spans="1:17" ht="16" x14ac:dyDescent="0.2">
      <c r="A35" s="10" t="s">
        <v>8</v>
      </c>
      <c r="B35" s="27">
        <f>SQRT((1/3)*((B25-B$28)^2+(C25-C$28)^2+(D25-D$28)^2))</f>
        <v>1.1743330321574437</v>
      </c>
      <c r="C35" s="28"/>
      <c r="D35" s="28"/>
      <c r="E35" s="27">
        <f>SQRT((1/3)*((E25-E$28)^2+(F25-F$28)^2+(G25-G$28)^2))</f>
        <v>0.82263364192383603</v>
      </c>
      <c r="F35" s="28"/>
      <c r="G35" s="28"/>
      <c r="H35" s="27">
        <f>SQRT((1/3)*((H25-H$28)^2+(I25-I$28)^2+(J25-J$28)^2))</f>
        <v>1.5985310535733828</v>
      </c>
      <c r="I35" s="28"/>
      <c r="J35" s="28"/>
      <c r="K35" s="27">
        <f>SQRT((1/3)*((K25-K$28)^2+(L25-L$28)^2+(M25-M$28)^2))</f>
        <v>1.1743330321574437</v>
      </c>
      <c r="L35" s="28"/>
      <c r="M35" s="28"/>
      <c r="N35" s="27">
        <f>SQRT((1/3)*((N25-N$28)^2+(O25-O$28)^2+(P25-P$28)^2))</f>
        <v>1.1743330321574441</v>
      </c>
      <c r="O35" s="28"/>
      <c r="P35" s="28"/>
      <c r="Q35" s="15">
        <f>SUM(B35,E35,H35,K35,N35)</f>
        <v>5.9441637919695509</v>
      </c>
    </row>
    <row r="36" spans="1:17" ht="16" x14ac:dyDescent="0.2">
      <c r="A36" s="10" t="s">
        <v>9</v>
      </c>
      <c r="B36" s="27">
        <f>SQRT((1/3)*((B26-B$28)^2+(C26-C$28)^2+(D26-D$28)^2))</f>
        <v>3.9607124104577336</v>
      </c>
      <c r="C36" s="28"/>
      <c r="D36" s="28"/>
      <c r="E36" s="27">
        <f>SQRT((1/3)*((E26-E$28)^2+(F26-F$28)^2+(G26-G$28)^2))</f>
        <v>0.82263364192383603</v>
      </c>
      <c r="F36" s="28"/>
      <c r="G36" s="28"/>
      <c r="H36" s="27">
        <f>SQRT((1/3)*((H26-H$28)^2+(I26-I$28)^2+(J26-J$28)^2))</f>
        <v>0.18532230862876881</v>
      </c>
      <c r="I36" s="28"/>
      <c r="J36" s="28"/>
      <c r="K36" s="27">
        <f>SQRT((1/3)*((K26-K$28)^2+(L26-L$28)^2+(M26-M$28)^2))</f>
        <v>3.9607124104577336</v>
      </c>
      <c r="L36" s="28"/>
      <c r="M36" s="28"/>
      <c r="N36" s="27">
        <f>SQRT((1/3)*((N26-N$28)^2+(O26-O$28)^2+(P26-P$28)^2))</f>
        <v>3.960712410457734</v>
      </c>
      <c r="O36" s="28"/>
      <c r="P36" s="28"/>
      <c r="Q36" s="15">
        <f>SUM(B36,E36,H36,K36,N36)</f>
        <v>12.890093181925806</v>
      </c>
    </row>
    <row r="37" spans="1:17" ht="16" x14ac:dyDescent="0.2">
      <c r="A37" s="10" t="s">
        <v>10</v>
      </c>
      <c r="B37" s="27">
        <f>SQRT((1/3)*((B27-B$28)^2+(C27-C$28)^2+(D27-D$28)^2))</f>
        <v>0</v>
      </c>
      <c r="C37" s="28"/>
      <c r="D37" s="28"/>
      <c r="E37" s="27">
        <f>SQRT((1/3)*((E27-E$28)^2+(F27-F$28)^2+(G27-G$28)^2))</f>
        <v>2.0100342705120307</v>
      </c>
      <c r="F37" s="28"/>
      <c r="G37" s="28"/>
      <c r="H37" s="27">
        <f>SQRT((1/3)*((H27-H$28)^2+(I27-I$28)^2+(J27-J$28)^2))</f>
        <v>1.4521793533365543</v>
      </c>
      <c r="I37" s="28"/>
      <c r="J37" s="28"/>
      <c r="K37" s="27">
        <f>SQRT((1/3)*((K27-K$28)^2+(L27-L$28)^2+(M27-M$28)^2))</f>
        <v>0</v>
      </c>
      <c r="L37" s="28"/>
      <c r="M37" s="28"/>
      <c r="N37" s="27">
        <f>SQRT((1/3)*((N27-N$28)^2+(O27-O$28)^2+(P27-P$28)^2))</f>
        <v>1.4599950795367445</v>
      </c>
      <c r="O37" s="28"/>
      <c r="P37" s="28"/>
      <c r="Q37" s="15">
        <f>SUM(B37,E37,H37,K37,N37)</f>
        <v>4.9222087033853299</v>
      </c>
    </row>
    <row r="39" spans="1:17" ht="22" customHeight="1" x14ac:dyDescent="0.2">
      <c r="A39" s="21" t="s">
        <v>72</v>
      </c>
      <c r="B39" s="22"/>
      <c r="C39" s="22"/>
      <c r="D39" s="22"/>
      <c r="E39" s="22"/>
      <c r="F39" s="22"/>
      <c r="G39" s="22"/>
      <c r="H39" s="22"/>
      <c r="I39" s="22"/>
      <c r="J39" s="22"/>
      <c r="K39" s="22"/>
      <c r="L39" s="22"/>
      <c r="M39" s="22"/>
      <c r="N39" s="22"/>
      <c r="O39" s="22"/>
      <c r="P39" s="22"/>
    </row>
    <row r="40" spans="1:17" ht="16" x14ac:dyDescent="0.2">
      <c r="A40" s="9" t="s">
        <v>1</v>
      </c>
      <c r="B40" s="26" t="s">
        <v>25</v>
      </c>
      <c r="C40" s="26"/>
      <c r="D40" s="26"/>
      <c r="E40" s="26" t="s">
        <v>28</v>
      </c>
      <c r="F40" s="26"/>
      <c r="G40" s="26"/>
      <c r="H40" s="26" t="s">
        <v>31</v>
      </c>
      <c r="I40" s="26"/>
      <c r="J40" s="26"/>
      <c r="K40" s="26" t="s">
        <v>34</v>
      </c>
      <c r="L40" s="26"/>
      <c r="M40" s="26"/>
      <c r="N40" s="26" t="s">
        <v>37</v>
      </c>
      <c r="O40" s="26"/>
      <c r="P40" s="26"/>
      <c r="Q40" s="9" t="s">
        <v>3</v>
      </c>
    </row>
    <row r="41" spans="1:17" ht="16" x14ac:dyDescent="0.2">
      <c r="A41" s="10" t="s">
        <v>6</v>
      </c>
      <c r="B41" s="27">
        <f>SQRT((1/3)*((B23-B$29)^2+(C23-C$29)^2+(D23-D$29)^2))</f>
        <v>3.9607124104577336</v>
      </c>
      <c r="C41" s="28"/>
      <c r="D41" s="28"/>
      <c r="E41" s="27">
        <f>SQRT((1/3)*((E23-E$29)^2+(F23-F$29)^2+(G23-G$29)^2))</f>
        <v>1.5560127357434006</v>
      </c>
      <c r="F41" s="28"/>
      <c r="G41" s="28"/>
      <c r="H41" s="27">
        <f>SQRT((1/3)*((H23-H$29)^2+(I23-I$29)^2+(J23-J$29)^2))</f>
        <v>1.0640227864896414</v>
      </c>
      <c r="I41" s="28"/>
      <c r="J41" s="28"/>
      <c r="K41" s="27">
        <f>SQRT((1/3)*((K23-K$29)^2+(L23-L$29)^2+(M23-M$29)^2))</f>
        <v>3.9607124104577336</v>
      </c>
      <c r="L41" s="28"/>
      <c r="M41" s="28"/>
      <c r="N41" s="27">
        <f>SQRT((1/3)*((N23-N$29)^2+(O23-O$29)^2+(P23-P$29)^2))</f>
        <v>3.960712410457734</v>
      </c>
      <c r="O41" s="28"/>
      <c r="P41" s="28"/>
      <c r="Q41" s="15">
        <f>SUM(B41,E41,H41,K41,N41)</f>
        <v>14.502172753606242</v>
      </c>
    </row>
    <row r="42" spans="1:17" ht="16" x14ac:dyDescent="0.2">
      <c r="A42" s="10" t="s">
        <v>7</v>
      </c>
      <c r="B42" s="27">
        <f>SQRT((1/3)*((B24-B$29)^2+(C24-C$29)^2+(D24-D$29)^2))</f>
        <v>0.32787793065089871</v>
      </c>
      <c r="C42" s="28"/>
      <c r="D42" s="28"/>
      <c r="E42" s="27">
        <f>SQRT((1/3)*((E24-E$29)^2+(F24-F$29)^2+(G24-G$29)^2))</f>
        <v>2.0100342705120307</v>
      </c>
      <c r="F42" s="28"/>
      <c r="G42" s="28"/>
      <c r="H42" s="27">
        <f>SQRT((1/3)*((H24-H$29)^2+(I24-I$29)^2+(J24-J$29)^2))</f>
        <v>1.5985310535733828</v>
      </c>
      <c r="I42" s="28"/>
      <c r="J42" s="28"/>
      <c r="K42" s="27">
        <f>SQRT((1/3)*((K24-K$29)^2+(L24-L$29)^2+(M24-M$29)^2))</f>
        <v>0.65575586130179697</v>
      </c>
      <c r="L42" s="28"/>
      <c r="M42" s="28"/>
      <c r="N42" s="27">
        <f>SQRT((1/3)*((N24-N$29)^2+(O24-O$29)^2+(P24-P$29)^2))</f>
        <v>1.5168614867563128</v>
      </c>
      <c r="O42" s="28"/>
      <c r="P42" s="28"/>
      <c r="Q42" s="15">
        <f>SUM(B42,E42,H42,K42,N42)</f>
        <v>6.1090606027944219</v>
      </c>
    </row>
    <row r="43" spans="1:17" ht="16" x14ac:dyDescent="0.2">
      <c r="A43" s="10" t="s">
        <v>8</v>
      </c>
      <c r="B43" s="27">
        <f>SQRT((1/3)*((B25-B$29)^2+(C25-C$29)^2+(D25-D$29)^2))</f>
        <v>3.1008059780907198</v>
      </c>
      <c r="C43" s="28"/>
      <c r="D43" s="28"/>
      <c r="E43" s="27">
        <f>SQRT((1/3)*((E25-E$29)^2+(F25-F$29)^2+(G25-G$29)^2))</f>
        <v>1.417765651353639</v>
      </c>
      <c r="F43" s="28"/>
      <c r="G43" s="28"/>
      <c r="H43" s="27">
        <f>SQRT((1/3)*((H25-H$29)^2+(I25-I$29)^2+(J25-J$29)^2))</f>
        <v>0</v>
      </c>
      <c r="I43" s="28"/>
      <c r="J43" s="28"/>
      <c r="K43" s="27">
        <f>SQRT((1/3)*((K25-K$29)^2+(L25-L$29)^2+(M25-M$29)^2))</f>
        <v>3.1008059780907198</v>
      </c>
      <c r="L43" s="28"/>
      <c r="M43" s="28"/>
      <c r="N43" s="27">
        <f>SQRT((1/3)*((N25-N$29)^2+(O25-O$29)^2+(P25-P$29)^2))</f>
        <v>3.1008059780907198</v>
      </c>
      <c r="O43" s="28"/>
      <c r="P43" s="28"/>
      <c r="Q43" s="15">
        <f>SUM(B43,E43,H43,K43,N43)</f>
        <v>10.720183585625797</v>
      </c>
    </row>
    <row r="44" spans="1:17" ht="16" x14ac:dyDescent="0.2">
      <c r="A44" s="10" t="s">
        <v>9</v>
      </c>
      <c r="B44" s="27">
        <f>SQRT((1/3)*((B26-B$29)^2+(C26-C$29)^2+(D26-D$29)^2))</f>
        <v>0</v>
      </c>
      <c r="C44" s="28"/>
      <c r="D44" s="28"/>
      <c r="E44" s="27">
        <f>SQRT((1/3)*((E26-E$29)^2+(F26-F$29)^2+(G26-G$29)^2))</f>
        <v>1.417765651353639</v>
      </c>
      <c r="F44" s="28"/>
      <c r="G44" s="28"/>
      <c r="H44" s="27">
        <f>SQRT((1/3)*((H26-H$29)^2+(I26-I$29)^2+(J26-J$29)^2))</f>
        <v>1.4521793533365543</v>
      </c>
      <c r="I44" s="28"/>
      <c r="J44" s="28"/>
      <c r="K44" s="27">
        <f>SQRT((1/3)*((K26-K$29)^2+(L26-L$29)^2+(M26-M$29)^2))</f>
        <v>0</v>
      </c>
      <c r="L44" s="28"/>
      <c r="M44" s="28"/>
      <c r="N44" s="27">
        <f>SQRT((1/3)*((N26-N$29)^2+(O26-O$29)^2+(P26-P$29)^2))</f>
        <v>0</v>
      </c>
      <c r="O44" s="28"/>
      <c r="P44" s="28"/>
      <c r="Q44" s="15">
        <f>SUM(B44,E44,H44,K44,N44)</f>
        <v>2.8699450046901935</v>
      </c>
    </row>
    <row r="45" spans="1:17" ht="16" x14ac:dyDescent="0.2">
      <c r="A45" s="10" t="s">
        <v>10</v>
      </c>
      <c r="B45" s="27">
        <f>SQRT((1/3)*((B27-B$29)^2+(C27-C$29)^2+(D27-D$29)^2))</f>
        <v>3.9607124104577336</v>
      </c>
      <c r="C45" s="28"/>
      <c r="D45" s="28"/>
      <c r="E45" s="27">
        <f>SQRT((1/3)*((E27-E$29)^2+(F27-F$29)^2+(G27-G$29)^2))</f>
        <v>0</v>
      </c>
      <c r="F45" s="28"/>
      <c r="G45" s="28"/>
      <c r="H45" s="27">
        <f>SQRT((1/3)*((H27-H$29)^2+(I27-I$29)^2+(J27-J$29)^2))</f>
        <v>0.18532230862876881</v>
      </c>
      <c r="I45" s="28"/>
      <c r="J45" s="28"/>
      <c r="K45" s="27">
        <f>SQRT((1/3)*((K27-K$29)^2+(L27-L$29)^2+(M27-M$29)^2))</f>
        <v>3.9607124104577336</v>
      </c>
      <c r="L45" s="28"/>
      <c r="M45" s="28"/>
      <c r="N45" s="27">
        <f>SQRT((1/3)*((N27-N$29)^2+(O27-O$29)^2+(P27-P$29)^2))</f>
        <v>2.9038688679546252</v>
      </c>
      <c r="O45" s="28"/>
      <c r="P45" s="28"/>
      <c r="Q45" s="15">
        <f>SUM(B45,E45,H45,K45,N45)</f>
        <v>11.01061599749886</v>
      </c>
    </row>
  </sheetData>
  <mergeCells count="80">
    <mergeCell ref="A20:P20"/>
    <mergeCell ref="K43:M43"/>
    <mergeCell ref="K2:M2"/>
    <mergeCell ref="K42:M42"/>
    <mergeCell ref="H37:J37"/>
    <mergeCell ref="A31:P31"/>
    <mergeCell ref="B40:D40"/>
    <mergeCell ref="H12:J12"/>
    <mergeCell ref="B33:D33"/>
    <mergeCell ref="K37:M37"/>
    <mergeCell ref="B32:D32"/>
    <mergeCell ref="H43:J43"/>
    <mergeCell ref="N41:P41"/>
    <mergeCell ref="H41:J41"/>
    <mergeCell ref="N43:P43"/>
    <mergeCell ref="B2:D2"/>
    <mergeCell ref="A1:P1"/>
    <mergeCell ref="N36:P36"/>
    <mergeCell ref="N45:P45"/>
    <mergeCell ref="H35:J35"/>
    <mergeCell ref="E43:G43"/>
    <mergeCell ref="K33:M33"/>
    <mergeCell ref="E33:G33"/>
    <mergeCell ref="N37:P37"/>
    <mergeCell ref="K35:M35"/>
    <mergeCell ref="B21:D21"/>
    <mergeCell ref="N12:P12"/>
    <mergeCell ref="N21:P21"/>
    <mergeCell ref="E34:G34"/>
    <mergeCell ref="H45:J45"/>
    <mergeCell ref="E2:G2"/>
    <mergeCell ref="H32:J32"/>
    <mergeCell ref="K45:M45"/>
    <mergeCell ref="E35:G35"/>
    <mergeCell ref="H40:J40"/>
    <mergeCell ref="B43:D43"/>
    <mergeCell ref="E44:G44"/>
    <mergeCell ref="K44:M44"/>
    <mergeCell ref="B36:D36"/>
    <mergeCell ref="E41:G41"/>
    <mergeCell ref="H42:J42"/>
    <mergeCell ref="B45:D45"/>
    <mergeCell ref="E36:G36"/>
    <mergeCell ref="E45:G45"/>
    <mergeCell ref="B41:D41"/>
    <mergeCell ref="E37:G37"/>
    <mergeCell ref="B35:D35"/>
    <mergeCell ref="K41:M41"/>
    <mergeCell ref="B44:D44"/>
    <mergeCell ref="H2:J2"/>
    <mergeCell ref="B34:D34"/>
    <mergeCell ref="N44:P44"/>
    <mergeCell ref="B37:D37"/>
    <mergeCell ref="A39:P39"/>
    <mergeCell ref="A11:P11"/>
    <mergeCell ref="K34:M34"/>
    <mergeCell ref="E42:G42"/>
    <mergeCell ref="N32:P32"/>
    <mergeCell ref="H44:J44"/>
    <mergeCell ref="K36:M36"/>
    <mergeCell ref="H21:J21"/>
    <mergeCell ref="K12:M12"/>
    <mergeCell ref="N34:P34"/>
    <mergeCell ref="E32:G32"/>
    <mergeCell ref="B42:D42"/>
    <mergeCell ref="N2:P2"/>
    <mergeCell ref="K32:M32"/>
    <mergeCell ref="N33:P33"/>
    <mergeCell ref="N42:P42"/>
    <mergeCell ref="K40:M40"/>
    <mergeCell ref="E40:G40"/>
    <mergeCell ref="H33:J33"/>
    <mergeCell ref="N40:P40"/>
    <mergeCell ref="E12:G12"/>
    <mergeCell ref="N35:P35"/>
    <mergeCell ref="E21:G21"/>
    <mergeCell ref="K21:M21"/>
    <mergeCell ref="H34:J34"/>
    <mergeCell ref="B12:D12"/>
    <mergeCell ref="H36:J3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tabSelected="1" workbookViewId="0">
      <selection sqref="A1:F1"/>
    </sheetView>
  </sheetViews>
  <sheetFormatPr baseColWidth="10" defaultColWidth="8.83203125" defaultRowHeight="15" x14ac:dyDescent="0.2"/>
  <cols>
    <col min="1" max="1" width="24" customWidth="1"/>
    <col min="2" max="29" width="13" customWidth="1"/>
  </cols>
  <sheetData>
    <row r="1" spans="1:6" ht="22" customHeight="1" x14ac:dyDescent="0.2">
      <c r="A1" s="21" t="s">
        <v>0</v>
      </c>
      <c r="B1" s="22"/>
      <c r="C1" s="22"/>
      <c r="D1" s="22"/>
      <c r="E1" s="22"/>
      <c r="F1" s="22"/>
    </row>
    <row r="3" spans="1:6" ht="16" x14ac:dyDescent="0.2">
      <c r="A3" s="1" t="s">
        <v>1</v>
      </c>
      <c r="B3" s="1" t="s">
        <v>2</v>
      </c>
      <c r="C3" s="1" t="s">
        <v>3</v>
      </c>
      <c r="D3" s="1" t="s">
        <v>4</v>
      </c>
      <c r="E3" s="1" t="s">
        <v>5</v>
      </c>
    </row>
    <row r="4" spans="1:6" ht="16" x14ac:dyDescent="0.2">
      <c r="A4" s="10" t="s">
        <v>6</v>
      </c>
      <c r="B4" s="13">
        <f>Расчёт!Q33</f>
        <v>1.3712380505590622</v>
      </c>
      <c r="C4" s="13">
        <f>Расчёт!Q41</f>
        <v>14.502172753606242</v>
      </c>
      <c r="D4" s="16">
        <f>C4/(B4+C4)</f>
        <v>0.91361415215189667</v>
      </c>
      <c r="E4" s="17">
        <f>RANK(D4,$D$4:$D$8,0)</f>
        <v>1</v>
      </c>
    </row>
    <row r="5" spans="1:6" ht="16" x14ac:dyDescent="0.2">
      <c r="A5" s="10" t="s">
        <v>7</v>
      </c>
      <c r="B5" s="13">
        <f>Расчёт!Q34</f>
        <v>9.8396141302138851</v>
      </c>
      <c r="C5" s="13">
        <f>Расчёт!Q42</f>
        <v>6.1090606027944219</v>
      </c>
      <c r="D5" s="16">
        <f>C5/(B5+C5)</f>
        <v>0.38304503070407186</v>
      </c>
      <c r="E5" s="17">
        <f>RANK(D5,$D$4:$D$8,0)</f>
        <v>4</v>
      </c>
    </row>
    <row r="6" spans="1:6" ht="16" x14ac:dyDescent="0.2">
      <c r="A6" s="10" t="s">
        <v>8</v>
      </c>
      <c r="B6" s="13">
        <f>Расчёт!Q35</f>
        <v>5.9441637919695509</v>
      </c>
      <c r="C6" s="13">
        <f>Расчёт!Q43</f>
        <v>10.720183585625797</v>
      </c>
      <c r="D6" s="16">
        <f>C6/(B6+C6)</f>
        <v>0.64330053513159002</v>
      </c>
      <c r="E6" s="17">
        <f>RANK(D6,$D$4:$D$8,0)</f>
        <v>3</v>
      </c>
    </row>
    <row r="7" spans="1:6" ht="16" x14ac:dyDescent="0.2">
      <c r="A7" s="10" t="s">
        <v>9</v>
      </c>
      <c r="B7" s="13">
        <f>Расчёт!Q36</f>
        <v>12.890093181925806</v>
      </c>
      <c r="C7" s="13">
        <f>Расчёт!Q44</f>
        <v>2.8699450046901935</v>
      </c>
      <c r="D7" s="16">
        <f>C7/(B7+C7)</f>
        <v>0.18210266819832047</v>
      </c>
      <c r="E7" s="17">
        <f>RANK(D7,$D$4:$D$8,0)</f>
        <v>5</v>
      </c>
    </row>
    <row r="8" spans="1:6" ht="16" x14ac:dyDescent="0.2">
      <c r="A8" s="10" t="s">
        <v>10</v>
      </c>
      <c r="B8" s="13">
        <f>Расчёт!Q37</f>
        <v>4.9222087033853299</v>
      </c>
      <c r="C8" s="13">
        <f>Расчёт!Q45</f>
        <v>11.01061599749886</v>
      </c>
      <c r="D8" s="16">
        <f>C8/(B8+C8)</f>
        <v>0.69106490557746658</v>
      </c>
      <c r="E8" s="17">
        <f>RANK(D8,$D$4:$D$8,0)</f>
        <v>2</v>
      </c>
    </row>
    <row r="10" spans="1:6" ht="16" x14ac:dyDescent="0.2">
      <c r="A10" s="18" t="s">
        <v>11</v>
      </c>
      <c r="B10" s="19" t="str">
        <f>INDEX($A$4:$A$8,MATCH(MAX($D$4:$D$8),$D$4:$D$8,0))</f>
        <v>Сплит</v>
      </c>
      <c r="C10" s="20"/>
      <c r="D10" s="20"/>
      <c r="E10" s="20"/>
    </row>
    <row r="12" spans="1:6" ht="30" customHeight="1" x14ac:dyDescent="0.2">
      <c r="A12" s="23" t="s">
        <v>12</v>
      </c>
      <c r="B12" s="22"/>
      <c r="C12" s="22"/>
      <c r="D12" s="22"/>
      <c r="E12" s="22"/>
      <c r="F12" s="22"/>
    </row>
  </sheetData>
  <mergeCells count="3">
    <mergeCell ref="B10:E10"/>
    <mergeCell ref="A1:F1"/>
    <mergeCell ref="A12:F1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6</vt:i4>
      </vt:variant>
    </vt:vector>
  </HeadingPairs>
  <TitlesOfParts>
    <vt:vector size="6" baseType="lpstr">
      <vt:lpstr>Концепции и критерии</vt:lpstr>
      <vt:lpstr>Шкала</vt:lpstr>
      <vt:lpstr>Оценки экспертов</vt:lpstr>
      <vt:lpstr>Нечёткие оценки</vt:lpstr>
      <vt:lpstr>Расчёт</vt:lpstr>
      <vt:lpstr>Итог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M41den</cp:lastModifiedBy>
  <dcterms:created xsi:type="dcterms:W3CDTF">2026-10-26T17:51:18Z</dcterms:created>
  <dcterms:modified xsi:type="dcterms:W3CDTF">2026-10-26T17:52:20Z</dcterms:modified>
</cp:coreProperties>
</file>