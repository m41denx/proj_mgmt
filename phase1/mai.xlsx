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029"/>
  <workbookPr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xr:revisionPtr revIDLastSave="0" documentId="13_ncr:1_{7198B9D7-AFD0-4FEB-AD45-006C770BA126}" xr6:coauthVersionLast="45" xr6:coauthVersionMax="47" xr10:uidLastSave="{00000000-0000-0000-0000-000000000000}"/>
  <bookViews>
    <workbookView xWindow="-120" yWindow="-120" windowWidth="29040" windowHeight="15720" firstSheet="1" activeTab="7" xr2:uid="{00000000-000D-0000-FFFF-FFFF00000000}"/>
  </bookViews>
  <sheets>
    <sheet name="Концепции и критерии" sheetId="1" r:id="rId1"/>
    <sheet name="Критерии" sheetId="2" r:id="rId2"/>
    <sheet name="Экономичность" sheetId="3" r:id="rId3"/>
    <sheet name="Актуальность" sheetId="4" r:id="rId4"/>
    <sheet name="Потенциал развития" sheetId="5" r:id="rId5"/>
    <sheet name="Простота реализации" sheetId="6" r:id="rId6"/>
    <sheet name="Соответствие компетенциям" sheetId="7" r:id="rId7"/>
    <sheet name="Итог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F43" i="7" l="1"/>
  <c r="E42" i="7"/>
  <c r="F41" i="7"/>
  <c r="E41" i="7"/>
  <c r="D41" i="7"/>
  <c r="E40" i="7"/>
  <c r="C40" i="7"/>
  <c r="F39" i="7"/>
  <c r="E39" i="7"/>
  <c r="D39" i="7"/>
  <c r="C39" i="7"/>
  <c r="B39" i="7"/>
  <c r="E32" i="7"/>
  <c r="D32" i="7"/>
  <c r="C32" i="7"/>
  <c r="B32" i="7"/>
  <c r="D31" i="7"/>
  <c r="C31" i="7"/>
  <c r="B31" i="7"/>
  <c r="G31" i="7" s="1"/>
  <c r="B30" i="7"/>
  <c r="F29" i="7"/>
  <c r="D29" i="7"/>
  <c r="C30" i="7" s="1"/>
  <c r="B29" i="7"/>
  <c r="G28" i="7"/>
  <c r="D21" i="7"/>
  <c r="B21" i="7"/>
  <c r="F20" i="7"/>
  <c r="E21" i="7" s="1"/>
  <c r="D20" i="7"/>
  <c r="C20" i="7"/>
  <c r="B20" i="7"/>
  <c r="B19" i="7"/>
  <c r="F18" i="7"/>
  <c r="D18" i="7"/>
  <c r="C19" i="7" s="1"/>
  <c r="B18" i="7"/>
  <c r="G17" i="7"/>
  <c r="D10" i="7"/>
  <c r="C10" i="7"/>
  <c r="B10" i="7"/>
  <c r="F9" i="7"/>
  <c r="D9" i="7"/>
  <c r="C9" i="7"/>
  <c r="B9" i="7"/>
  <c r="B8" i="7"/>
  <c r="B41" i="7" s="1"/>
  <c r="D7" i="7"/>
  <c r="C8" i="7" s="1"/>
  <c r="B7" i="7"/>
  <c r="B40" i="7" s="1"/>
  <c r="G6" i="7"/>
  <c r="F43" i="6"/>
  <c r="E42" i="6"/>
  <c r="E41" i="6"/>
  <c r="D41" i="6"/>
  <c r="E40" i="6"/>
  <c r="C40" i="6"/>
  <c r="F39" i="6"/>
  <c r="E39" i="6"/>
  <c r="D39" i="6"/>
  <c r="C39" i="6"/>
  <c r="B39" i="6"/>
  <c r="E32" i="6"/>
  <c r="D32" i="6"/>
  <c r="B32" i="6"/>
  <c r="F31" i="6"/>
  <c r="D31" i="6"/>
  <c r="C31" i="6"/>
  <c r="G31" i="6" s="1"/>
  <c r="B31" i="6"/>
  <c r="B30" i="6"/>
  <c r="F29" i="6"/>
  <c r="F40" i="6" s="1"/>
  <c r="D29" i="6"/>
  <c r="C30" i="6" s="1"/>
  <c r="G30" i="6" s="1"/>
  <c r="B29" i="6"/>
  <c r="G28" i="6"/>
  <c r="D21" i="6"/>
  <c r="B21" i="6"/>
  <c r="F20" i="6"/>
  <c r="E21" i="6" s="1"/>
  <c r="D20" i="6"/>
  <c r="D42" i="6" s="1"/>
  <c r="C20" i="6"/>
  <c r="B20" i="6"/>
  <c r="B19" i="6"/>
  <c r="F18" i="6"/>
  <c r="C21" i="6" s="1"/>
  <c r="D18" i="6"/>
  <c r="C19" i="6" s="1"/>
  <c r="B18" i="6"/>
  <c r="G18" i="6" s="1"/>
  <c r="G17" i="6"/>
  <c r="C10" i="6"/>
  <c r="B10" i="6"/>
  <c r="F9" i="6"/>
  <c r="E10" i="6" s="1"/>
  <c r="D9" i="6"/>
  <c r="C9" i="6"/>
  <c r="B9" i="6"/>
  <c r="F8" i="6"/>
  <c r="F41" i="6" s="1"/>
  <c r="B8" i="6"/>
  <c r="G7" i="6"/>
  <c r="F7" i="6"/>
  <c r="D7" i="6"/>
  <c r="C8" i="6" s="1"/>
  <c r="B7" i="6"/>
  <c r="G6" i="6"/>
  <c r="F43" i="5"/>
  <c r="F42" i="5"/>
  <c r="E42" i="5"/>
  <c r="F41" i="5"/>
  <c r="D41" i="5"/>
  <c r="F40" i="5"/>
  <c r="E40" i="5"/>
  <c r="D40" i="5"/>
  <c r="C40" i="5"/>
  <c r="F39" i="5"/>
  <c r="E39" i="5"/>
  <c r="D39" i="5"/>
  <c r="B39" i="5"/>
  <c r="E32" i="5"/>
  <c r="D32" i="5"/>
  <c r="C32" i="5"/>
  <c r="B32" i="5"/>
  <c r="C31" i="5"/>
  <c r="B31" i="5"/>
  <c r="E30" i="5"/>
  <c r="D31" i="5" s="1"/>
  <c r="C30" i="5"/>
  <c r="B30" i="5"/>
  <c r="B29" i="5"/>
  <c r="G29" i="5" s="1"/>
  <c r="G28" i="5"/>
  <c r="E21" i="5"/>
  <c r="D21" i="5"/>
  <c r="C21" i="5"/>
  <c r="B21" i="5"/>
  <c r="D20" i="5"/>
  <c r="C20" i="5"/>
  <c r="E19" i="5"/>
  <c r="C19" i="5"/>
  <c r="B19" i="5"/>
  <c r="G19" i="5" s="1"/>
  <c r="E17" i="5"/>
  <c r="B20" i="5" s="1"/>
  <c r="G20" i="5" s="1"/>
  <c r="C17" i="5"/>
  <c r="E10" i="5"/>
  <c r="D10" i="5"/>
  <c r="C10" i="5"/>
  <c r="B10" i="5"/>
  <c r="C9" i="5"/>
  <c r="E8" i="5"/>
  <c r="C8" i="5"/>
  <c r="B8" i="5"/>
  <c r="E6" i="5"/>
  <c r="B9" i="5" s="1"/>
  <c r="C6" i="5"/>
  <c r="F43" i="4"/>
  <c r="F42" i="4"/>
  <c r="E42" i="4"/>
  <c r="F41" i="4"/>
  <c r="E41" i="4"/>
  <c r="D41" i="4"/>
  <c r="F40" i="4"/>
  <c r="E40" i="4"/>
  <c r="D40" i="4"/>
  <c r="C40" i="4"/>
  <c r="F39" i="4"/>
  <c r="B39" i="4"/>
  <c r="E32" i="4"/>
  <c r="D32" i="4"/>
  <c r="C32" i="4"/>
  <c r="B32" i="4"/>
  <c r="D31" i="4"/>
  <c r="C31" i="4"/>
  <c r="B31" i="4"/>
  <c r="C30" i="4"/>
  <c r="B30" i="4"/>
  <c r="G30" i="4" s="1"/>
  <c r="B29" i="4"/>
  <c r="G29" i="4" s="1"/>
  <c r="G28" i="4"/>
  <c r="E21" i="4"/>
  <c r="D21" i="4"/>
  <c r="C21" i="4"/>
  <c r="B21" i="4"/>
  <c r="D20" i="4"/>
  <c r="C20" i="4"/>
  <c r="C19" i="4"/>
  <c r="E17" i="4"/>
  <c r="E39" i="4" s="1"/>
  <c r="D17" i="4"/>
  <c r="D39" i="4" s="1"/>
  <c r="C17" i="4"/>
  <c r="C39" i="4" s="1"/>
  <c r="G39" i="4" s="1"/>
  <c r="E10" i="4"/>
  <c r="D10" i="4"/>
  <c r="D43" i="4" s="1"/>
  <c r="C10" i="4"/>
  <c r="B10" i="4"/>
  <c r="G10" i="4" s="1"/>
  <c r="D9" i="4"/>
  <c r="C9" i="4"/>
  <c r="C42" i="4" s="1"/>
  <c r="B9" i="4"/>
  <c r="C8" i="4"/>
  <c r="C41" i="4" s="1"/>
  <c r="B8" i="4"/>
  <c r="G8" i="4" s="1"/>
  <c r="B7" i="4"/>
  <c r="G7" i="4" s="1"/>
  <c r="G6" i="4"/>
  <c r="F43" i="3"/>
  <c r="E42" i="3"/>
  <c r="E41" i="3"/>
  <c r="D41" i="3"/>
  <c r="E40" i="3"/>
  <c r="C40" i="3"/>
  <c r="F39" i="3"/>
  <c r="E39" i="3"/>
  <c r="D39" i="3"/>
  <c r="C39" i="3"/>
  <c r="B39" i="3"/>
  <c r="D32" i="3"/>
  <c r="B32" i="3"/>
  <c r="F31" i="3"/>
  <c r="E32" i="3" s="1"/>
  <c r="D31" i="3"/>
  <c r="C31" i="3"/>
  <c r="B31" i="3"/>
  <c r="B30" i="3"/>
  <c r="G30" i="3" s="1"/>
  <c r="F29" i="3"/>
  <c r="C32" i="3" s="1"/>
  <c r="D29" i="3"/>
  <c r="C30" i="3" s="1"/>
  <c r="B29" i="3"/>
  <c r="G28" i="3"/>
  <c r="D21" i="3"/>
  <c r="C21" i="3"/>
  <c r="B21" i="3"/>
  <c r="F20" i="3"/>
  <c r="D20" i="3"/>
  <c r="C20" i="3"/>
  <c r="C42" i="3" s="1"/>
  <c r="B20" i="3"/>
  <c r="B19" i="3"/>
  <c r="F18" i="3"/>
  <c r="D18" i="3"/>
  <c r="C19" i="3" s="1"/>
  <c r="B18" i="3"/>
  <c r="G17" i="3"/>
  <c r="D10" i="3"/>
  <c r="B10" i="3"/>
  <c r="F9" i="3"/>
  <c r="E10" i="3" s="1"/>
  <c r="D9" i="3"/>
  <c r="C9" i="3"/>
  <c r="B9" i="3"/>
  <c r="F8" i="3"/>
  <c r="F41" i="3" s="1"/>
  <c r="C8" i="3"/>
  <c r="B8" i="3"/>
  <c r="B41" i="3" s="1"/>
  <c r="G7" i="3"/>
  <c r="F7" i="3"/>
  <c r="C10" i="3" s="1"/>
  <c r="D7" i="3"/>
  <c r="B7" i="3"/>
  <c r="G6" i="3"/>
  <c r="F43" i="2"/>
  <c r="F42" i="2"/>
  <c r="E42" i="2"/>
  <c r="D41" i="2"/>
  <c r="D40" i="2"/>
  <c r="C40" i="2"/>
  <c r="F39" i="2"/>
  <c r="E39" i="2"/>
  <c r="D39" i="2"/>
  <c r="C39" i="2"/>
  <c r="G39" i="2" s="1"/>
  <c r="B39" i="2"/>
  <c r="E32" i="2"/>
  <c r="B32" i="2"/>
  <c r="C31" i="2"/>
  <c r="B31" i="2"/>
  <c r="F30" i="2"/>
  <c r="D32" i="2" s="1"/>
  <c r="E30" i="2"/>
  <c r="E41" i="2" s="1"/>
  <c r="C30" i="2"/>
  <c r="B30" i="2"/>
  <c r="F29" i="2"/>
  <c r="F40" i="2" s="1"/>
  <c r="B29" i="2"/>
  <c r="G28" i="2"/>
  <c r="E21" i="2"/>
  <c r="E43" i="2" s="1"/>
  <c r="C21" i="2"/>
  <c r="B21" i="2"/>
  <c r="C20" i="2"/>
  <c r="B20" i="2"/>
  <c r="F19" i="2"/>
  <c r="D21" i="2" s="1"/>
  <c r="E19" i="2"/>
  <c r="D20" i="2" s="1"/>
  <c r="C19" i="2"/>
  <c r="B19" i="2"/>
  <c r="G19" i="2" s="1"/>
  <c r="G18" i="2"/>
  <c r="B18" i="2"/>
  <c r="G17" i="2"/>
  <c r="E10" i="2"/>
  <c r="D10" i="2"/>
  <c r="C10" i="2"/>
  <c r="B10" i="2"/>
  <c r="G10" i="2" s="1"/>
  <c r="C9" i="2"/>
  <c r="C42" i="2" s="1"/>
  <c r="B9" i="2"/>
  <c r="F8" i="2"/>
  <c r="E8" i="2"/>
  <c r="D9" i="2" s="1"/>
  <c r="C8" i="2"/>
  <c r="C41" i="2" s="1"/>
  <c r="B8" i="2"/>
  <c r="G8" i="2" s="1"/>
  <c r="E7" i="2"/>
  <c r="E40" i="2" s="1"/>
  <c r="B7" i="2"/>
  <c r="B40" i="2" s="1"/>
  <c r="G6" i="2"/>
  <c r="G40" i="2" l="1"/>
  <c r="D43" i="7"/>
  <c r="C42" i="5"/>
  <c r="G29" i="7"/>
  <c r="H29" i="7" s="1"/>
  <c r="B19" i="4"/>
  <c r="G19" i="4" s="1"/>
  <c r="B43" i="5"/>
  <c r="G9" i="7"/>
  <c r="G30" i="7"/>
  <c r="H31" i="7" s="1"/>
  <c r="G8" i="3"/>
  <c r="G32" i="4"/>
  <c r="C43" i="5"/>
  <c r="G9" i="6"/>
  <c r="G39" i="6"/>
  <c r="C42" i="7"/>
  <c r="C41" i="3"/>
  <c r="G41" i="3" s="1"/>
  <c r="G32" i="5"/>
  <c r="H32" i="5" s="1"/>
  <c r="F42" i="6"/>
  <c r="D42" i="7"/>
  <c r="F40" i="7"/>
  <c r="D42" i="4"/>
  <c r="G30" i="5"/>
  <c r="H30" i="5" s="1"/>
  <c r="F42" i="7"/>
  <c r="B42" i="5"/>
  <c r="G32" i="7"/>
  <c r="H32" i="7" s="1"/>
  <c r="B41" i="2"/>
  <c r="G21" i="4"/>
  <c r="C32" i="2"/>
  <c r="C43" i="2" s="1"/>
  <c r="G9" i="3"/>
  <c r="D43" i="5"/>
  <c r="B42" i="2"/>
  <c r="C43" i="3"/>
  <c r="G31" i="5"/>
  <c r="H31" i="5" s="1"/>
  <c r="G31" i="4"/>
  <c r="G20" i="3"/>
  <c r="G6" i="5"/>
  <c r="C39" i="5"/>
  <c r="B7" i="5"/>
  <c r="G8" i="7"/>
  <c r="C41" i="7"/>
  <c r="G41" i="7" s="1"/>
  <c r="G7" i="2"/>
  <c r="G30" i="2"/>
  <c r="B42" i="3"/>
  <c r="H28" i="4"/>
  <c r="G18" i="3"/>
  <c r="B40" i="3"/>
  <c r="G17" i="4"/>
  <c r="B18" i="4"/>
  <c r="E43" i="6"/>
  <c r="G20" i="2"/>
  <c r="G21" i="2"/>
  <c r="G29" i="2"/>
  <c r="G32" i="2"/>
  <c r="B43" i="2"/>
  <c r="F42" i="3"/>
  <c r="E21" i="3"/>
  <c r="E43" i="3" s="1"/>
  <c r="D40" i="3"/>
  <c r="B42" i="6"/>
  <c r="G20" i="6"/>
  <c r="G39" i="5"/>
  <c r="G9" i="2"/>
  <c r="D31" i="2"/>
  <c r="D42" i="2" s="1"/>
  <c r="G42" i="2" s="1"/>
  <c r="B43" i="4"/>
  <c r="E41" i="5"/>
  <c r="D9" i="5"/>
  <c r="C41" i="5"/>
  <c r="H18" i="2"/>
  <c r="G31" i="3"/>
  <c r="E43" i="5"/>
  <c r="G43" i="5" s="1"/>
  <c r="G10" i="5"/>
  <c r="F40" i="3"/>
  <c r="H7" i="4"/>
  <c r="C43" i="4"/>
  <c r="G29" i="3"/>
  <c r="G29" i="6"/>
  <c r="B40" i="6"/>
  <c r="D43" i="2"/>
  <c r="G10" i="3"/>
  <c r="G39" i="3"/>
  <c r="E43" i="4"/>
  <c r="H30" i="4"/>
  <c r="G21" i="5"/>
  <c r="C41" i="6"/>
  <c r="D43" i="3"/>
  <c r="B18" i="5"/>
  <c r="G17" i="5"/>
  <c r="G21" i="6"/>
  <c r="F41" i="2"/>
  <c r="G41" i="2" s="1"/>
  <c r="D42" i="3"/>
  <c r="G32" i="3"/>
  <c r="H32" i="3" s="1"/>
  <c r="G9" i="4"/>
  <c r="H9" i="4" s="1"/>
  <c r="H29" i="4"/>
  <c r="B41" i="5"/>
  <c r="G8" i="6"/>
  <c r="G10" i="6"/>
  <c r="H10" i="6" s="1"/>
  <c r="H18" i="6"/>
  <c r="G19" i="3"/>
  <c r="B43" i="3"/>
  <c r="H6" i="4"/>
  <c r="G8" i="5"/>
  <c r="G7" i="7"/>
  <c r="C21" i="7"/>
  <c r="G21" i="7" s="1"/>
  <c r="D40" i="7"/>
  <c r="G40" i="7" s="1"/>
  <c r="B42" i="7"/>
  <c r="B41" i="6"/>
  <c r="G19" i="7"/>
  <c r="G20" i="7"/>
  <c r="B43" i="7"/>
  <c r="B41" i="4"/>
  <c r="G19" i="6"/>
  <c r="D40" i="6"/>
  <c r="G39" i="7"/>
  <c r="B20" i="4"/>
  <c r="D10" i="6"/>
  <c r="D43" i="6" s="1"/>
  <c r="C42" i="6"/>
  <c r="B43" i="6"/>
  <c r="E10" i="7"/>
  <c r="E43" i="7" s="1"/>
  <c r="G18" i="7"/>
  <c r="C32" i="6"/>
  <c r="H30" i="7" l="1"/>
  <c r="H28" i="7"/>
  <c r="H9" i="2"/>
  <c r="H21" i="7"/>
  <c r="H28" i="5"/>
  <c r="I32" i="5" s="1"/>
  <c r="J32" i="5" s="1"/>
  <c r="H29" i="5"/>
  <c r="I30" i="5" s="1"/>
  <c r="J30" i="5" s="1"/>
  <c r="H10" i="3"/>
  <c r="H31" i="4"/>
  <c r="I29" i="4" s="1"/>
  <c r="J29" i="4" s="1"/>
  <c r="G40" i="6"/>
  <c r="H31" i="3"/>
  <c r="G21" i="3"/>
  <c r="H21" i="3" s="1"/>
  <c r="I28" i="4"/>
  <c r="J28" i="4" s="1"/>
  <c r="H7" i="2"/>
  <c r="H8" i="2"/>
  <c r="H20" i="7"/>
  <c r="G41" i="5"/>
  <c r="H20" i="6"/>
  <c r="H6" i="5"/>
  <c r="C43" i="7"/>
  <c r="G43" i="7" s="1"/>
  <c r="G42" i="6"/>
  <c r="G18" i="4"/>
  <c r="B40" i="4"/>
  <c r="G42" i="3"/>
  <c r="H39" i="3" s="1"/>
  <c r="H10" i="4"/>
  <c r="H10" i="2"/>
  <c r="H18" i="7"/>
  <c r="H19" i="6"/>
  <c r="H17" i="6"/>
  <c r="G42" i="7"/>
  <c r="G43" i="3"/>
  <c r="H8" i="6"/>
  <c r="H21" i="6"/>
  <c r="H41" i="3"/>
  <c r="B6" i="8" s="1"/>
  <c r="H21" i="5"/>
  <c r="G31" i="2"/>
  <c r="H31" i="2" s="1"/>
  <c r="H21" i="2"/>
  <c r="H9" i="3"/>
  <c r="I28" i="5"/>
  <c r="J28" i="5" s="1"/>
  <c r="I28" i="7"/>
  <c r="J28" i="7" s="1"/>
  <c r="I29" i="7"/>
  <c r="J29" i="7" s="1"/>
  <c r="I30" i="7"/>
  <c r="J30" i="7" s="1"/>
  <c r="H29" i="3"/>
  <c r="H28" i="3"/>
  <c r="D42" i="5"/>
  <c r="G42" i="5" s="1"/>
  <c r="G9" i="5"/>
  <c r="H9" i="5" s="1"/>
  <c r="H8" i="4"/>
  <c r="I8" i="4" s="1"/>
  <c r="J8" i="4" s="1"/>
  <c r="H20" i="2"/>
  <c r="H17" i="2"/>
  <c r="G40" i="3"/>
  <c r="H32" i="4"/>
  <c r="H17" i="7"/>
  <c r="H8" i="7"/>
  <c r="H19" i="7"/>
  <c r="G41" i="4"/>
  <c r="G10" i="7"/>
  <c r="H10" i="7" s="1"/>
  <c r="H9" i="6"/>
  <c r="H6" i="2"/>
  <c r="H18" i="3"/>
  <c r="H17" i="3"/>
  <c r="H30" i="3"/>
  <c r="H8" i="3"/>
  <c r="G20" i="4"/>
  <c r="G18" i="5"/>
  <c r="H18" i="5" s="1"/>
  <c r="C43" i="6"/>
  <c r="G43" i="6" s="1"/>
  <c r="G32" i="6"/>
  <c r="G41" i="6"/>
  <c r="I31" i="7"/>
  <c r="J31" i="7" s="1"/>
  <c r="H7" i="6"/>
  <c r="I32" i="7"/>
  <c r="J32" i="7" s="1"/>
  <c r="H6" i="6"/>
  <c r="B42" i="4"/>
  <c r="I30" i="4"/>
  <c r="J30" i="4" s="1"/>
  <c r="G43" i="4"/>
  <c r="G43" i="2"/>
  <c r="H43" i="2" s="1"/>
  <c r="F9" i="8" s="1"/>
  <c r="H6" i="3"/>
  <c r="G7" i="5"/>
  <c r="H10" i="5" s="1"/>
  <c r="B40" i="5"/>
  <c r="H7" i="3"/>
  <c r="H19" i="2"/>
  <c r="H41" i="6" l="1"/>
  <c r="E6" i="8" s="1"/>
  <c r="I32" i="4"/>
  <c r="J32" i="4" s="1"/>
  <c r="H20" i="5"/>
  <c r="I29" i="5"/>
  <c r="J29" i="5" s="1"/>
  <c r="B33" i="5" s="1"/>
  <c r="B34" i="5" s="1"/>
  <c r="B35" i="5" s="1"/>
  <c r="H6" i="7"/>
  <c r="I6" i="7" s="1"/>
  <c r="J6" i="7" s="1"/>
  <c r="H42" i="7"/>
  <c r="F7" i="8" s="1"/>
  <c r="H19" i="5"/>
  <c r="I31" i="4"/>
  <c r="J31" i="4" s="1"/>
  <c r="B33" i="4" s="1"/>
  <c r="B34" i="4" s="1"/>
  <c r="B35" i="4" s="1"/>
  <c r="I31" i="5"/>
  <c r="J31" i="5" s="1"/>
  <c r="H7" i="7"/>
  <c r="I8" i="7" s="1"/>
  <c r="J8" i="7" s="1"/>
  <c r="H40" i="3"/>
  <c r="B5" i="8" s="1"/>
  <c r="H9" i="7"/>
  <c r="I7" i="3"/>
  <c r="J7" i="3" s="1"/>
  <c r="I9" i="3"/>
  <c r="J9" i="3" s="1"/>
  <c r="I6" i="3"/>
  <c r="J6" i="3" s="1"/>
  <c r="I10" i="3"/>
  <c r="J10" i="3" s="1"/>
  <c r="I8" i="3"/>
  <c r="J8" i="3" s="1"/>
  <c r="I6" i="2"/>
  <c r="J6" i="2" s="1"/>
  <c r="I9" i="2"/>
  <c r="J9" i="2" s="1"/>
  <c r="I8" i="2"/>
  <c r="J8" i="2" s="1"/>
  <c r="I10" i="2"/>
  <c r="J10" i="2" s="1"/>
  <c r="I7" i="2"/>
  <c r="J7" i="2" s="1"/>
  <c r="H18" i="4"/>
  <c r="H19" i="4"/>
  <c r="H40" i="6"/>
  <c r="E5" i="8" s="1"/>
  <c r="H39" i="6"/>
  <c r="I6" i="6"/>
  <c r="J6" i="6" s="1"/>
  <c r="I7" i="6"/>
  <c r="J7" i="6" s="1"/>
  <c r="I10" i="6"/>
  <c r="J10" i="6" s="1"/>
  <c r="I9" i="6"/>
  <c r="J9" i="6" s="1"/>
  <c r="I8" i="6"/>
  <c r="J8" i="6" s="1"/>
  <c r="H21" i="4"/>
  <c r="H17" i="4"/>
  <c r="H42" i="3"/>
  <c r="B7" i="8" s="1"/>
  <c r="I6" i="4"/>
  <c r="J6" i="4" s="1"/>
  <c r="H40" i="7"/>
  <c r="F5" i="8" s="1"/>
  <c r="G42" i="4"/>
  <c r="I17" i="6"/>
  <c r="J17" i="6" s="1"/>
  <c r="I18" i="6"/>
  <c r="J18" i="6" s="1"/>
  <c r="I21" i="6"/>
  <c r="J21" i="6" s="1"/>
  <c r="I20" i="6"/>
  <c r="J20" i="6" s="1"/>
  <c r="I19" i="6"/>
  <c r="J19" i="6" s="1"/>
  <c r="I10" i="4"/>
  <c r="J10" i="4" s="1"/>
  <c r="I17" i="7"/>
  <c r="J17" i="7" s="1"/>
  <c r="I20" i="7"/>
  <c r="J20" i="7" s="1"/>
  <c r="I18" i="7"/>
  <c r="J18" i="7" s="1"/>
  <c r="I19" i="7"/>
  <c r="J19" i="7" s="1"/>
  <c r="I21" i="7"/>
  <c r="J21" i="7" s="1"/>
  <c r="G40" i="5"/>
  <c r="H30" i="2"/>
  <c r="H43" i="7"/>
  <c r="F8" i="8" s="1"/>
  <c r="H8" i="5"/>
  <c r="H7" i="5"/>
  <c r="H39" i="7"/>
  <c r="I17" i="3"/>
  <c r="J17" i="3" s="1"/>
  <c r="I19" i="3"/>
  <c r="J19" i="3" s="1"/>
  <c r="I17" i="2"/>
  <c r="J17" i="2" s="1"/>
  <c r="I20" i="2"/>
  <c r="J20" i="2" s="1"/>
  <c r="I21" i="2"/>
  <c r="J21" i="2" s="1"/>
  <c r="I18" i="2"/>
  <c r="J18" i="2" s="1"/>
  <c r="I19" i="2"/>
  <c r="J19" i="2" s="1"/>
  <c r="I7" i="4"/>
  <c r="J7" i="4" s="1"/>
  <c r="H41" i="7"/>
  <c r="F6" i="8" s="1"/>
  <c r="H20" i="4"/>
  <c r="H43" i="6"/>
  <c r="E8" i="8" s="1"/>
  <c r="B33" i="7"/>
  <c r="B34" i="7" s="1"/>
  <c r="B35" i="7" s="1"/>
  <c r="G40" i="4"/>
  <c r="H42" i="2"/>
  <c r="E9" i="8" s="1"/>
  <c r="H19" i="3"/>
  <c r="H20" i="3"/>
  <c r="I28" i="3"/>
  <c r="J28" i="3" s="1"/>
  <c r="I30" i="3"/>
  <c r="J30" i="3" s="1"/>
  <c r="I29" i="3"/>
  <c r="J29" i="3" s="1"/>
  <c r="I31" i="3"/>
  <c r="J31" i="3" s="1"/>
  <c r="I32" i="3"/>
  <c r="J32" i="3" s="1"/>
  <c r="H42" i="6"/>
  <c r="E7" i="8" s="1"/>
  <c r="H41" i="5"/>
  <c r="D6" i="8" s="1"/>
  <c r="H32" i="2"/>
  <c r="H17" i="5"/>
  <c r="H41" i="2"/>
  <c r="D9" i="8" s="1"/>
  <c r="B4" i="8"/>
  <c r="H40" i="2"/>
  <c r="C9" i="8" s="1"/>
  <c r="H32" i="6"/>
  <c r="H30" i="6"/>
  <c r="H29" i="2"/>
  <c r="H29" i="6"/>
  <c r="H39" i="2"/>
  <c r="H31" i="6"/>
  <c r="I9" i="4"/>
  <c r="J9" i="4" s="1"/>
  <c r="H28" i="6"/>
  <c r="H43" i="3"/>
  <c r="B8" i="8" s="1"/>
  <c r="H28" i="2"/>
  <c r="D17" i="8" l="1"/>
  <c r="C35" i="5"/>
  <c r="I9" i="5"/>
  <c r="J9" i="5" s="1"/>
  <c r="I10" i="7"/>
  <c r="J10" i="7" s="1"/>
  <c r="I21" i="3"/>
  <c r="J21" i="3" s="1"/>
  <c r="I9" i="7"/>
  <c r="J9" i="7" s="1"/>
  <c r="I7" i="7"/>
  <c r="J7" i="7" s="1"/>
  <c r="B11" i="7" s="1"/>
  <c r="B12" i="7" s="1"/>
  <c r="B13" i="7" s="1"/>
  <c r="I39" i="3"/>
  <c r="J39" i="3" s="1"/>
  <c r="B22" i="6"/>
  <c r="B23" i="6" s="1"/>
  <c r="B24" i="6" s="1"/>
  <c r="H40" i="4"/>
  <c r="C5" i="8" s="1"/>
  <c r="H39" i="4"/>
  <c r="I39" i="6"/>
  <c r="J39" i="6" s="1"/>
  <c r="E4" i="8"/>
  <c r="I42" i="6"/>
  <c r="J42" i="6" s="1"/>
  <c r="I40" i="6"/>
  <c r="J40" i="6" s="1"/>
  <c r="I43" i="6"/>
  <c r="J43" i="6" s="1"/>
  <c r="I41" i="6"/>
  <c r="J41" i="6" s="1"/>
  <c r="I28" i="2"/>
  <c r="J28" i="2" s="1"/>
  <c r="I29" i="2"/>
  <c r="J29" i="2" s="1"/>
  <c r="I32" i="2"/>
  <c r="J32" i="2" s="1"/>
  <c r="I30" i="2"/>
  <c r="J30" i="2" s="1"/>
  <c r="I31" i="2"/>
  <c r="J31" i="2" s="1"/>
  <c r="H41" i="4"/>
  <c r="C6" i="8" s="1"/>
  <c r="H40" i="5"/>
  <c r="D5" i="8" s="1"/>
  <c r="H43" i="5"/>
  <c r="D8" i="8" s="1"/>
  <c r="H39" i="5"/>
  <c r="I6" i="5"/>
  <c r="J6" i="5" s="1"/>
  <c r="I41" i="3"/>
  <c r="J41" i="3" s="1"/>
  <c r="I18" i="3"/>
  <c r="J18" i="3" s="1"/>
  <c r="B22" i="3" s="1"/>
  <c r="B23" i="3" s="1"/>
  <c r="B24" i="3" s="1"/>
  <c r="I43" i="3"/>
  <c r="J43" i="3" s="1"/>
  <c r="B11" i="2"/>
  <c r="B12" i="2" s="1"/>
  <c r="B13" i="2" s="1"/>
  <c r="I20" i="3"/>
  <c r="J20" i="3" s="1"/>
  <c r="I7" i="5"/>
  <c r="J7" i="5" s="1"/>
  <c r="I17" i="4"/>
  <c r="J17" i="4" s="1"/>
  <c r="I19" i="4"/>
  <c r="J19" i="4" s="1"/>
  <c r="I21" i="4"/>
  <c r="J21" i="4" s="1"/>
  <c r="I18" i="4"/>
  <c r="J18" i="4" s="1"/>
  <c r="I20" i="4"/>
  <c r="J20" i="4" s="1"/>
  <c r="B11" i="6"/>
  <c r="B12" i="6" s="1"/>
  <c r="B13" i="6" s="1"/>
  <c r="B9" i="8"/>
  <c r="I39" i="2"/>
  <c r="J39" i="2" s="1"/>
  <c r="I42" i="2"/>
  <c r="J42" i="2" s="1"/>
  <c r="I40" i="2"/>
  <c r="J40" i="2" s="1"/>
  <c r="I41" i="2"/>
  <c r="J41" i="2" s="1"/>
  <c r="I43" i="2"/>
  <c r="J43" i="2" s="1"/>
  <c r="C24" i="6"/>
  <c r="C18" i="8"/>
  <c r="C35" i="4"/>
  <c r="D16" i="8"/>
  <c r="F4" i="8"/>
  <c r="I41" i="7"/>
  <c r="J41" i="7" s="1"/>
  <c r="I39" i="7"/>
  <c r="J39" i="7" s="1"/>
  <c r="I40" i="7"/>
  <c r="J40" i="7" s="1"/>
  <c r="I42" i="7"/>
  <c r="J42" i="7" s="1"/>
  <c r="I43" i="7"/>
  <c r="J43" i="7" s="1"/>
  <c r="H42" i="4"/>
  <c r="C7" i="8" s="1"/>
  <c r="H42" i="5"/>
  <c r="D7" i="8" s="1"/>
  <c r="C35" i="7"/>
  <c r="D19" i="8"/>
  <c r="B22" i="7"/>
  <c r="B23" i="7" s="1"/>
  <c r="B24" i="7" s="1"/>
  <c r="I40" i="3"/>
  <c r="J40" i="3" s="1"/>
  <c r="B33" i="3"/>
  <c r="B34" i="3" s="1"/>
  <c r="B35" i="3" s="1"/>
  <c r="B22" i="2"/>
  <c r="B23" i="2" s="1"/>
  <c r="B24" i="2" s="1"/>
  <c r="H43" i="4"/>
  <c r="C8" i="8" s="1"/>
  <c r="G8" i="8" s="1"/>
  <c r="I10" i="5"/>
  <c r="J10" i="5" s="1"/>
  <c r="B11" i="3"/>
  <c r="B12" i="3" s="1"/>
  <c r="B13" i="3" s="1"/>
  <c r="I17" i="5"/>
  <c r="J17" i="5" s="1"/>
  <c r="I21" i="5"/>
  <c r="J21" i="5" s="1"/>
  <c r="I20" i="5"/>
  <c r="J20" i="5" s="1"/>
  <c r="I19" i="5"/>
  <c r="J19" i="5" s="1"/>
  <c r="I18" i="5"/>
  <c r="J18" i="5" s="1"/>
  <c r="I28" i="6"/>
  <c r="J28" i="6" s="1"/>
  <c r="I31" i="6"/>
  <c r="J31" i="6" s="1"/>
  <c r="I32" i="6"/>
  <c r="J32" i="6" s="1"/>
  <c r="I30" i="6"/>
  <c r="J30" i="6" s="1"/>
  <c r="I29" i="6"/>
  <c r="J29" i="6" s="1"/>
  <c r="B11" i="4"/>
  <c r="B12" i="4" s="1"/>
  <c r="B13" i="4" s="1"/>
  <c r="I8" i="5"/>
  <c r="J8" i="5" s="1"/>
  <c r="I42" i="3"/>
  <c r="J42" i="3" s="1"/>
  <c r="B44" i="3" l="1"/>
  <c r="B45" i="3" s="1"/>
  <c r="B46" i="3" s="1"/>
  <c r="B22" i="5"/>
  <c r="B23" i="5" s="1"/>
  <c r="B24" i="5" s="1"/>
  <c r="B44" i="2"/>
  <c r="B45" i="2" s="1"/>
  <c r="B46" i="2" s="1"/>
  <c r="B33" i="6"/>
  <c r="B34" i="6" s="1"/>
  <c r="B35" i="6" s="1"/>
  <c r="D18" i="8" s="1"/>
  <c r="G7" i="8"/>
  <c r="C46" i="3"/>
  <c r="E15" i="8"/>
  <c r="C24" i="3"/>
  <c r="C15" i="8"/>
  <c r="C24" i="5"/>
  <c r="C17" i="8"/>
  <c r="B44" i="7"/>
  <c r="B45" i="7" s="1"/>
  <c r="B46" i="7" s="1"/>
  <c r="C13" i="2"/>
  <c r="B14" i="8"/>
  <c r="C24" i="2"/>
  <c r="C14" i="8"/>
  <c r="B22" i="4"/>
  <c r="B23" i="4" s="1"/>
  <c r="B24" i="4" s="1"/>
  <c r="C13" i="3"/>
  <c r="B15" i="8"/>
  <c r="E14" i="8"/>
  <c r="C46" i="2"/>
  <c r="C13" i="7"/>
  <c r="B19" i="8"/>
  <c r="G6" i="8"/>
  <c r="C35" i="3"/>
  <c r="D15" i="8"/>
  <c r="B11" i="5"/>
  <c r="B12" i="5" s="1"/>
  <c r="B13" i="5" s="1"/>
  <c r="I39" i="4"/>
  <c r="J39" i="4" s="1"/>
  <c r="C4" i="8"/>
  <c r="I41" i="4"/>
  <c r="J41" i="4" s="1"/>
  <c r="I43" i="4"/>
  <c r="J43" i="4" s="1"/>
  <c r="I42" i="4"/>
  <c r="J42" i="4" s="1"/>
  <c r="I40" i="4"/>
  <c r="J40" i="4" s="1"/>
  <c r="B44" i="6"/>
  <c r="B45" i="6" s="1"/>
  <c r="B46" i="6" s="1"/>
  <c r="C13" i="4"/>
  <c r="B16" i="8"/>
  <c r="C24" i="7"/>
  <c r="C19" i="8"/>
  <c r="C13" i="6"/>
  <c r="B18" i="8"/>
  <c r="D4" i="8"/>
  <c r="I39" i="5"/>
  <c r="J39" i="5" s="1"/>
  <c r="I43" i="5"/>
  <c r="J43" i="5" s="1"/>
  <c r="I42" i="5"/>
  <c r="J42" i="5" s="1"/>
  <c r="I41" i="5"/>
  <c r="J41" i="5" s="1"/>
  <c r="I40" i="5"/>
  <c r="J40" i="5" s="1"/>
  <c r="B33" i="2"/>
  <c r="B34" i="2" s="1"/>
  <c r="B35" i="2" s="1"/>
  <c r="G5" i="8"/>
  <c r="C35" i="6" l="1"/>
  <c r="C24" i="4"/>
  <c r="C16" i="8"/>
  <c r="H6" i="8"/>
  <c r="H5" i="8"/>
  <c r="B44" i="4"/>
  <c r="B45" i="4" s="1"/>
  <c r="B46" i="4" s="1"/>
  <c r="C13" i="5"/>
  <c r="B17" i="8"/>
  <c r="D14" i="8"/>
  <c r="C35" i="2"/>
  <c r="G4" i="8"/>
  <c r="C46" i="7"/>
  <c r="E19" i="8"/>
  <c r="B44" i="5"/>
  <c r="B45" i="5" s="1"/>
  <c r="B46" i="5" s="1"/>
  <c r="C46" i="6"/>
  <c r="E18" i="8"/>
  <c r="C46" i="4" l="1"/>
  <c r="E16" i="8"/>
  <c r="H4" i="8"/>
  <c r="G9" i="8"/>
  <c r="B10" i="8"/>
  <c r="H7" i="8"/>
  <c r="H8" i="8"/>
  <c r="C46" i="5"/>
  <c r="E17" i="8"/>
</calcChain>
</file>

<file path=xl/sharedStrings.xml><?xml version="1.0" encoding="utf-8"?>
<sst xmlns="http://schemas.openxmlformats.org/spreadsheetml/2006/main" count="554" uniqueCount="92">
  <si>
    <t>Синтез: глобальный вес альтернативы = Σ (локальный приоритет по критерию × вес критерия)</t>
  </si>
  <si>
    <t>Альтернатива</t>
  </si>
  <si>
    <t>Экономичность</t>
  </si>
  <si>
    <t>Актуальность</t>
  </si>
  <si>
    <t>Потенциал развития</t>
  </si>
  <si>
    <t>Простота реализации</t>
  </si>
  <si>
    <t>Соответствие компетенциям</t>
  </si>
  <si>
    <t>Глобальный вес</t>
  </si>
  <si>
    <t>Ранг</t>
  </si>
  <si>
    <t>Сплит</t>
  </si>
  <si>
    <t>Репетиторы</t>
  </si>
  <si>
    <t>Аудитории</t>
  </si>
  <si>
    <t>AR-гид</t>
  </si>
  <si>
    <t>Рецепты</t>
  </si>
  <si>
    <t>Вес критерия</t>
  </si>
  <si>
    <t>Лучшая концепция</t>
  </si>
  <si>
    <t>Проверка согласованности всех матриц (ОС ≤ 10%)</t>
  </si>
  <si>
    <t>Матрица</t>
  </si>
  <si>
    <t>Александр Ф.</t>
  </si>
  <si>
    <t>Алексей К.</t>
  </si>
  <si>
    <t>Александр Л.</t>
  </si>
  <si>
    <t>Коллективная</t>
  </si>
  <si>
    <t>Критерии</t>
  </si>
  <si>
    <t>Альтернативы: Экономичность</t>
  </si>
  <si>
    <t>Альтернативы: Актуальность</t>
  </si>
  <si>
    <t>Альтернативы: Потенциал развития</t>
  </si>
  <si>
    <t>Альтернативы: Простота реализации</t>
  </si>
  <si>
    <t>Альтернативы: Соответствие компетенциям</t>
  </si>
  <si>
    <t>Фаза 1. Выбор концепции проекта — чёткий коллективный МАИ (метод анализа иерархий Саати)</t>
  </si>
  <si>
    <t>№</t>
  </si>
  <si>
    <t>Короткое название</t>
  </si>
  <si>
    <t>Концепция проекта</t>
  </si>
  <si>
    <t>Веб-приложение для учёта и разделения общих расходов в группе (поездки, съёмная квартира, мероприятия)</t>
  </si>
  <si>
    <t>Онлайн-платформа поиска репетиторов с расписанием занятий и онлайн-оплатой</t>
  </si>
  <si>
    <t>Веб-сервис бронирования учебных аудиторий и переговорных комнат университета</t>
  </si>
  <si>
    <t>Мобильное приложение с AR-экскурсиями по историческому центру города</t>
  </si>
  <si>
    <t>Мобильное приложение подбора рецептов по имеющимся дома продуктам</t>
  </si>
  <si>
    <t>Критерий</t>
  </si>
  <si>
    <t>Что оценивается (все критерии — «чем больше, тем лучше»)</t>
  </si>
  <si>
    <t>K1</t>
  </si>
  <si>
    <t>Затраты на разработку, инфраструктуру и сопровождение (чем выше оценка, тем дешевле проект)</t>
  </si>
  <si>
    <t>K2</t>
  </si>
  <si>
    <t>Востребованность продукта у целевой аудитории в данный момент</t>
  </si>
  <si>
    <t>K3</t>
  </si>
  <si>
    <t>Возможность масштабирования, добавления функций и монетизации</t>
  </si>
  <si>
    <t>K4</t>
  </si>
  <si>
    <t>Техническая сложность и время до работающего MVP</t>
  </si>
  <si>
    <t>K5</t>
  </si>
  <si>
    <t>Насколько стек технологий и предметная область знакомы команде</t>
  </si>
  <si>
    <t>Эксперт</t>
  </si>
  <si>
    <t>Роль в оценке</t>
  </si>
  <si>
    <t>Участник команды, независимая экспертная оценка</t>
  </si>
  <si>
    <t>Обозначения:</t>
  </si>
  <si>
    <t>исходные данные (оценки экспертов) — можно менять</t>
  </si>
  <si>
    <t>итоговые результаты расчёта</t>
  </si>
  <si>
    <t>Значение</t>
  </si>
  <si>
    <t>Шкала Саати для парных сравнений</t>
  </si>
  <si>
    <t>Равная важность</t>
  </si>
  <si>
    <t>Умеренное превосходство одного над другим</t>
  </si>
  <si>
    <t>Существенное превосходство</t>
  </si>
  <si>
    <t>Значительное превосходство</t>
  </si>
  <si>
    <t>Очень сильное (абсолютное) превосходство</t>
  </si>
  <si>
    <t>2, 4, 6, 8</t>
  </si>
  <si>
    <t>Промежуточные значения между соседними суждениями</t>
  </si>
  <si>
    <t>1/x</t>
  </si>
  <si>
    <t>Обратные величины: если i в x раз важнее j, то j в 1/x раз важнее i</t>
  </si>
  <si>
    <t>Размер матрицы n</t>
  </si>
  <si>
    <t>Случайный индекс согласованности RI</t>
  </si>
  <si>
    <t>Матрица считается согласованной, если отношение согласованности ОС = ИС / RI ≤ 0,10; ИС = (λmax − n) / (n − 1).</t>
  </si>
  <si>
    <t>МАИ: парные сравнения — Критерий</t>
  </si>
  <si>
    <t>Эксперт заполняет только верхний треугольник (жёлтые ячейки): «во сколько раз строка предпочтительнее столбца». Нижний треугольник — обратные величины.</t>
  </si>
  <si>
    <t>Эксперт: Александр Ф.</t>
  </si>
  <si>
    <t>Ср. геом. строки</t>
  </si>
  <si>
    <t>Вес w</t>
  </si>
  <si>
    <t>(A·w)ᵢ</t>
  </si>
  <si>
    <t>(A·w)ᵢ / wᵢ</t>
  </si>
  <si>
    <t>λmax</t>
  </si>
  <si>
    <t>Индекс согласованности ИС</t>
  </si>
  <si>
    <t>Отношение согласованности ОС</t>
  </si>
  <si>
    <t>Эксперт: Алексей К.</t>
  </si>
  <si>
    <t>Эксперт: Александр Л.</t>
  </si>
  <si>
    <t>Коллективная матрица: поэлементное среднее геометрическое оценок трёх экспертов</t>
  </si>
  <si>
    <t>МАИ: парные сравнения — Альтернативы по критерию «Экономичность»</t>
  </si>
  <si>
    <t>Альтернативы по критерию «Экономичность»</t>
  </si>
  <si>
    <t>МАИ: парные сравнения — Альтернативы по критерию «Актуальность»</t>
  </si>
  <si>
    <t>Альтернативы по критерию «Актуальность»</t>
  </si>
  <si>
    <t>МАИ: парные сравнения — Альтернативы по критерию «Потенциал развития»</t>
  </si>
  <si>
    <t>Альтернативы по критерию «Потенциал развития»</t>
  </si>
  <si>
    <t>МАИ: парные сравнения — Альтернативы по критерию «Простота реализации»</t>
  </si>
  <si>
    <t>Альтернативы по критерию «Простота реализации»</t>
  </si>
  <si>
    <t>МАИ: парные сравнения — Альтернативы по критерию «Соответствие компетенциям»</t>
  </si>
  <si>
    <t>Альтернативы по критерию «Соответствие компетенциям»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</si>
</sst>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"/>
  </numFmts>
  <fonts count="5" x14ac:knownFonts="1">
    <font>
      <sz val="11"/>
      <color theme="1"/>
      <name val="Calibri"/>
      <family val="2"/>
      <scheme val="minor"/>
    </font>
    <font>
      <b/>
      <sz val="13"/>
      <name val="Calibri"/>
      <family val="2"/>
    </font>
    <font>
      <b/>
      <sz val="11"/>
      <color rgb="FFFFFFFF"/>
      <name val="Calibri"/>
      <family val="2"/>
    </font>
    <font>
      <b/>
      <sz val="11"/>
      <name val="Calibri"/>
      <family val="2"/>
    </font>
    <font>
      <i/>
      <sz val="11"/>
      <color rgb="FF595959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FF2CC"/>
      </patternFill>
    </fill>
    <fill>
      <patternFill patternType="solid">
        <fgColor rgb="FFE2EFDA"/>
      </patternFill>
    </fill>
    <fill>
      <patternFill patternType="solid">
        <fgColor rgb="FFDDEBF7"/>
      </patternFill>
    </fill>
    <fill>
      <patternFill patternType="solid">
        <fgColor rgb="FFA9D08E"/>
      </patternFill>
    </fill>
  </fills>
  <borders count="2">
    <border>
      <left/>
      <right/>
      <top/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2" fontId="0" fillId="0" borderId="1" xfId="0" applyNumberFormat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12" fontId="0" fillId="0" borderId="1" xfId="0" applyNumberFormat="1" applyBorder="1" applyAlignment="1">
      <alignment horizontal="center" vertical="center" wrapText="1"/>
    </xf>
    <xf numFmtId="12" fontId="0" fillId="3" borderId="1" xfId="0" applyNumberFormat="1" applyFill="1" applyBorder="1" applyAlignment="1">
      <alignment horizontal="center" vertical="center" wrapText="1"/>
    </xf>
    <xf numFmtId="164" fontId="0" fillId="0" borderId="1" xfId="0" applyNumberFormat="1" applyBorder="1" applyAlignment="1">
      <alignment horizontal="center" vertical="center" wrapText="1"/>
    </xf>
    <xf numFmtId="0" fontId="3" fillId="5" borderId="1" xfId="0" applyFont="1" applyFill="1" applyBorder="1" applyAlignment="1">
      <alignment horizontal="left" vertical="center" wrapText="1"/>
    </xf>
    <xf numFmtId="165" fontId="0" fillId="0" borderId="1" xfId="0" applyNumberFormat="1" applyBorder="1" applyAlignment="1">
      <alignment horizontal="center" vertical="center" wrapText="1"/>
    </xf>
    <xf numFmtId="10" fontId="3" fillId="0" borderId="1" xfId="0" applyNumberFormat="1" applyFont="1" applyBorder="1" applyAlignment="1">
      <alignment horizontal="center" vertical="center" wrapText="1"/>
    </xf>
    <xf numFmtId="164" fontId="3" fillId="4" borderId="1" xfId="0" applyNumberFormat="1" applyFont="1" applyFill="1" applyBorder="1" applyAlignment="1">
      <alignment horizontal="center" vertical="center" wrapText="1"/>
    </xf>
    <xf numFmtId="10" fontId="3" fillId="4" borderId="1" xfId="0" applyNumberFormat="1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10" fontId="3" fillId="5" borderId="1" xfId="0" applyNumberFormat="1" applyFont="1" applyFill="1" applyBorder="1" applyAlignment="1">
      <alignment horizontal="center" vertical="center" wrapText="1"/>
    </xf>
    <xf numFmtId="10" fontId="0" fillId="5" borderId="1" xfId="0" applyNumberFormat="1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left" vertical="center" wrapText="1"/>
    </xf>
    <xf numFmtId="10" fontId="0" fillId="0" borderId="1" xfId="0" applyNumberFormat="1" applyBorder="1" applyAlignment="1">
      <alignment horizontal="center" vertical="center" wrapText="1"/>
    </xf>
    <xf numFmtId="10" fontId="0" fillId="4" borderId="1" xfId="0" applyNumberFormat="1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0" fontId="0" fillId="0" borderId="0" xfId="0"/>
    <xf numFmtId="0" fontId="4" fillId="0" borderId="0" xfId="0" applyFont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0" fillId="6" borderId="1" xfId="0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ru-RU"/>
              <a:t>Глобальные веса альтернатив</a:t>
            </a:r>
          </a:p>
        </c:rich>
      </c:tx>
      <c:overlay val="1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Итог!$G$3</c:f>
              <c:strCache>
                <c:ptCount val="1"/>
                <c:pt idx="0">
                  <c:v>Глобальный вес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Итог!$A$4:$A$8</c:f>
              <c:strCache>
                <c:ptCount val="5"/>
                <c:pt idx="0">
                  <c:v>Сплит</c:v>
                </c:pt>
                <c:pt idx="1">
                  <c:v>Репетиторы</c:v>
                </c:pt>
                <c:pt idx="2">
                  <c:v>Аудитории</c:v>
                </c:pt>
                <c:pt idx="3">
                  <c:v>AR-гид</c:v>
                </c:pt>
                <c:pt idx="4">
                  <c:v>Рецепты</c:v>
                </c:pt>
              </c:strCache>
            </c:strRef>
          </c:cat>
          <c:val>
            <c:numRef>
              <c:f>Итог!$G$4:$G$8</c:f>
              <c:numCache>
                <c:formatCode>0.00%</c:formatCode>
                <c:ptCount val="5"/>
                <c:pt idx="0">
                  <c:v>0.30503729552722075</c:v>
                </c:pt>
                <c:pt idx="1">
                  <c:v>0.15551512818094224</c:v>
                </c:pt>
                <c:pt idx="2">
                  <c:v>0.21822046746682908</c:v>
                </c:pt>
                <c:pt idx="3">
                  <c:v>0.11066405586494253</c:v>
                </c:pt>
                <c:pt idx="4">
                  <c:v>0.21056305296006525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494-6A49-826C-AD81EDD207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  <c:min val="0"/>
        </c:scaling>
        <c:delete val="1"/>
        <c:axPos val="b"/>
        <c:majorGridlines/>
        <c:numFmt formatCode="0%" sourceLinked="0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0</xdr:colOff>
      <xdr:row>2</xdr:row>
      <xdr:rowOff>0</xdr:rowOff>
    </xdr:from>
    <xdr:ext cx="540000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2"/>
  <sheetViews>
    <sheetView workbookViewId="0">
      <selection sqref="A1:C1"/>
    </sheetView>
  </sheetViews>
  <sheetFormatPr defaultColWidth="8.85546875" defaultRowHeight="15" x14ac:dyDescent="0.25"/>
  <cols>
    <col min="1" max="1" width="6" customWidth="1"/>
    <col min="2" max="2" width="28" customWidth="1"/>
    <col min="3" max="3" width="90" customWidth="1"/>
    <col min="4" max="29" width="14" customWidth="1"/>
  </cols>
  <sheetData>
    <row r="1" spans="1:3" ht="21.95" customHeight="1" x14ac:dyDescent="0.25">
      <c r="A1" s="27" t="s">
        <v>28</v>
      </c>
      <c r="B1" s="28"/>
      <c r="C1" s="28"/>
    </row>
    <row r="3" spans="1:3" x14ac:dyDescent="0.25">
      <c r="A3" s="1" t="s">
        <v>29</v>
      </c>
      <c r="B3" s="1" t="s">
        <v>30</v>
      </c>
      <c r="C3" s="1" t="s">
        <v>31</v>
      </c>
    </row>
    <row r="4" spans="1:3" ht="30" x14ac:dyDescent="0.25">
      <c r="A4" s="2">
        <v>1</v>
      </c>
      <c r="B4" s="3" t="s">
        <v>9</v>
      </c>
      <c r="C4" s="4" t="s">
        <v>32</v>
      </c>
    </row>
    <row r="5" spans="1:3" x14ac:dyDescent="0.25">
      <c r="A5" s="2">
        <v>2</v>
      </c>
      <c r="B5" s="3" t="s">
        <v>10</v>
      </c>
      <c r="C5" s="4" t="s">
        <v>33</v>
      </c>
    </row>
    <row r="6" spans="1:3" x14ac:dyDescent="0.25">
      <c r="A6" s="2">
        <v>3</v>
      </c>
      <c r="B6" s="3" t="s">
        <v>11</v>
      </c>
      <c r="C6" s="4" t="s">
        <v>34</v>
      </c>
    </row>
    <row r="7" spans="1:3" x14ac:dyDescent="0.25">
      <c r="A7" s="2">
        <v>4</v>
      </c>
      <c r="B7" s="3" t="s">
        <v>12</v>
      </c>
      <c r="C7" s="4" t="s">
        <v>35</v>
      </c>
    </row>
    <row r="8" spans="1:3" x14ac:dyDescent="0.25">
      <c r="A8" s="2">
        <v>5</v>
      </c>
      <c r="B8" s="3" t="s">
        <v>13</v>
      </c>
      <c r="C8" s="4" t="s">
        <v>36</v>
      </c>
    </row>
    <row r="10" spans="1:3" x14ac:dyDescent="0.25">
      <c r="A10" s="1" t="s">
        <v>29</v>
      </c>
      <c r="B10" s="1" t="s">
        <v>37</v>
      </c>
      <c r="C10" s="1" t="s">
        <v>38</v>
      </c>
    </row>
    <row r="11" spans="1:3" ht="30" x14ac:dyDescent="0.25">
      <c r="A11" s="2" t="s">
        <v>39</v>
      </c>
      <c r="B11" s="3" t="s">
        <v>2</v>
      </c>
      <c r="C11" s="4" t="s">
        <v>40</v>
      </c>
    </row>
    <row r="12" spans="1:3" x14ac:dyDescent="0.25">
      <c r="A12" s="2" t="s">
        <v>41</v>
      </c>
      <c r="B12" s="3" t="s">
        <v>3</v>
      </c>
      <c r="C12" s="4" t="s">
        <v>42</v>
      </c>
    </row>
    <row r="13" spans="1:3" x14ac:dyDescent="0.25">
      <c r="A13" s="2" t="s">
        <v>43</v>
      </c>
      <c r="B13" s="3" t="s">
        <v>4</v>
      </c>
      <c r="C13" s="4" t="s">
        <v>44</v>
      </c>
    </row>
    <row r="14" spans="1:3" x14ac:dyDescent="0.25">
      <c r="A14" s="2" t="s">
        <v>45</v>
      </c>
      <c r="B14" s="3" t="s">
        <v>5</v>
      </c>
      <c r="C14" s="4" t="s">
        <v>46</v>
      </c>
    </row>
    <row r="15" spans="1:3" ht="30" x14ac:dyDescent="0.25">
      <c r="A15" s="2" t="s">
        <v>47</v>
      </c>
      <c r="B15" s="3" t="s">
        <v>6</v>
      </c>
      <c r="C15" s="4" t="s">
        <v>48</v>
      </c>
    </row>
    <row r="17" spans="1:3" x14ac:dyDescent="0.25">
      <c r="A17" s="1" t="s">
        <v>29</v>
      </c>
      <c r="B17" s="1" t="s">
        <v>49</v>
      </c>
      <c r="C17" s="1" t="s">
        <v>50</v>
      </c>
    </row>
    <row r="18" spans="1:3" x14ac:dyDescent="0.25">
      <c r="A18" s="2">
        <v>1</v>
      </c>
      <c r="B18" s="3" t="s">
        <v>18</v>
      </c>
      <c r="C18" s="4" t="s">
        <v>51</v>
      </c>
    </row>
    <row r="19" spans="1:3" x14ac:dyDescent="0.25">
      <c r="A19" s="2">
        <v>2</v>
      </c>
      <c r="B19" s="3" t="s">
        <v>19</v>
      </c>
      <c r="C19" s="4" t="s">
        <v>51</v>
      </c>
    </row>
    <row r="20" spans="1:3" x14ac:dyDescent="0.25">
      <c r="A20" s="2">
        <v>3</v>
      </c>
      <c r="B20" s="3" t="s">
        <v>20</v>
      </c>
      <c r="C20" s="4" t="s">
        <v>51</v>
      </c>
    </row>
    <row r="22" spans="1:3" x14ac:dyDescent="0.25">
      <c r="B22" s="5" t="s">
        <v>52</v>
      </c>
    </row>
    <row r="23" spans="1:3" x14ac:dyDescent="0.25">
      <c r="B23" s="6"/>
      <c r="C23" s="7" t="s">
        <v>53</v>
      </c>
    </row>
    <row r="24" spans="1:3" x14ac:dyDescent="0.25">
      <c r="B24" s="8"/>
      <c r="C24" s="7" t="s">
        <v>54</v>
      </c>
    </row>
    <row r="26" spans="1:3" x14ac:dyDescent="0.25">
      <c r="B26" s="1" t="s">
        <v>55</v>
      </c>
      <c r="C26" s="1" t="s">
        <v>56</v>
      </c>
    </row>
    <row r="27" spans="1:3" x14ac:dyDescent="0.25">
      <c r="B27" s="3">
        <v>1</v>
      </c>
      <c r="C27" s="4" t="s">
        <v>57</v>
      </c>
    </row>
    <row r="28" spans="1:3" x14ac:dyDescent="0.25">
      <c r="B28" s="3">
        <v>3</v>
      </c>
      <c r="C28" s="4" t="s">
        <v>58</v>
      </c>
    </row>
    <row r="29" spans="1:3" x14ac:dyDescent="0.25">
      <c r="B29" s="3">
        <v>5</v>
      </c>
      <c r="C29" s="4" t="s">
        <v>59</v>
      </c>
    </row>
    <row r="30" spans="1:3" x14ac:dyDescent="0.25">
      <c r="B30" s="3">
        <v>7</v>
      </c>
      <c r="C30" s="4" t="s">
        <v>60</v>
      </c>
    </row>
    <row r="31" spans="1:3" x14ac:dyDescent="0.25">
      <c r="B31" s="3">
        <v>9</v>
      </c>
      <c r="C31" s="4" t="s">
        <v>61</v>
      </c>
    </row>
    <row r="32" spans="1:3" x14ac:dyDescent="0.25">
      <c r="B32" s="3" t="s">
        <v>62</v>
      </c>
      <c r="C32" s="4" t="s">
        <v>63</v>
      </c>
    </row>
    <row r="33" spans="1:3" x14ac:dyDescent="0.25">
      <c r="B33" s="3" t="s">
        <v>64</v>
      </c>
      <c r="C33" s="4" t="s">
        <v>65</v>
      </c>
    </row>
    <row r="35" spans="1:3" x14ac:dyDescent="0.25">
      <c r="B35" s="1" t="s">
        <v>66</v>
      </c>
      <c r="C35" s="1" t="s">
        <v>67</v>
      </c>
    </row>
    <row r="36" spans="1:3" x14ac:dyDescent="0.25">
      <c r="B36" s="3">
        <v>3</v>
      </c>
      <c r="C36" s="9">
        <v>0.57999999999999996</v>
      </c>
    </row>
    <row r="37" spans="1:3" x14ac:dyDescent="0.25">
      <c r="B37" s="3">
        <v>4</v>
      </c>
      <c r="C37" s="9">
        <v>0.9</v>
      </c>
    </row>
    <row r="38" spans="1:3" x14ac:dyDescent="0.25">
      <c r="B38" s="3">
        <v>5</v>
      </c>
      <c r="C38" s="9">
        <v>1.1200000000000001</v>
      </c>
    </row>
    <row r="39" spans="1:3" x14ac:dyDescent="0.25">
      <c r="B39" s="3">
        <v>6</v>
      </c>
      <c r="C39" s="9">
        <v>1.24</v>
      </c>
    </row>
    <row r="40" spans="1:3" x14ac:dyDescent="0.25">
      <c r="B40" s="3">
        <v>7</v>
      </c>
      <c r="C40" s="9">
        <v>1.32</v>
      </c>
    </row>
    <row r="42" spans="1:3" ht="30" customHeight="1" x14ac:dyDescent="0.25">
      <c r="A42" s="29" t="s">
        <v>68</v>
      </c>
      <c r="B42" s="28"/>
      <c r="C42" s="28"/>
    </row>
  </sheetData>
  <mergeCells count="2">
    <mergeCell ref="A1:C1"/>
    <mergeCell ref="A42:C4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46"/>
  <sheetViews>
    <sheetView workbookViewId="0">
      <selection sqref="A1:J1"/>
    </sheetView>
  </sheetViews>
  <sheetFormatPr defaultColWidth="8.85546875" defaultRowHeight="15" x14ac:dyDescent="0.25"/>
  <cols>
    <col min="1" max="1" width="30" customWidth="1"/>
    <col min="2" max="2" width="15.42578125" bestFit="1" customWidth="1"/>
    <col min="3" max="3" width="13.42578125" bestFit="1" customWidth="1"/>
    <col min="4" max="4" width="11" bestFit="1" customWidth="1"/>
    <col min="5" max="5" width="11.85546875" bestFit="1" customWidth="1"/>
    <col min="6" max="6" width="15.140625" bestFit="1" customWidth="1"/>
    <col min="7" max="7" width="9.42578125" bestFit="1" customWidth="1"/>
    <col min="8" max="29" width="12.42578125" customWidth="1"/>
  </cols>
  <sheetData>
    <row r="1" spans="1:10" ht="21.95" customHeight="1" x14ac:dyDescent="0.25">
      <c r="A1" s="27" t="s">
        <v>69</v>
      </c>
      <c r="B1" s="28"/>
      <c r="C1" s="28"/>
      <c r="D1" s="28"/>
      <c r="E1" s="28"/>
      <c r="F1" s="28"/>
      <c r="G1" s="28"/>
      <c r="H1" s="28"/>
      <c r="I1" s="28"/>
      <c r="J1" s="28"/>
    </row>
    <row r="2" spans="1:10" ht="30" customHeight="1" x14ac:dyDescent="0.25">
      <c r="A2" s="29" t="s">
        <v>70</v>
      </c>
      <c r="B2" s="28"/>
      <c r="C2" s="28"/>
      <c r="D2" s="28"/>
      <c r="E2" s="28"/>
      <c r="F2" s="28"/>
      <c r="G2" s="28"/>
      <c r="H2" s="28"/>
      <c r="I2" s="28"/>
      <c r="J2" s="28"/>
    </row>
    <row r="4" spans="1:10" x14ac:dyDescent="0.25">
      <c r="A4" s="30" t="s">
        <v>71</v>
      </c>
      <c r="B4" s="31"/>
      <c r="C4" s="31"/>
      <c r="D4" s="31"/>
      <c r="E4" s="31"/>
      <c r="F4" s="31"/>
      <c r="G4" s="31"/>
      <c r="H4" s="31"/>
      <c r="I4" s="31"/>
      <c r="J4" s="31"/>
    </row>
    <row r="5" spans="1:10" ht="32.1" customHeight="1" x14ac:dyDescent="0.25">
      <c r="A5" s="10" t="s">
        <v>37</v>
      </c>
      <c r="B5" s="10" t="s">
        <v>2</v>
      </c>
      <c r="C5" s="10" t="s">
        <v>3</v>
      </c>
      <c r="D5" s="10" t="s">
        <v>4</v>
      </c>
      <c r="E5" s="10" t="s">
        <v>5</v>
      </c>
      <c r="F5" s="10" t="s">
        <v>6</v>
      </c>
      <c r="G5" s="10" t="s">
        <v>72</v>
      </c>
      <c r="H5" s="10" t="s">
        <v>73</v>
      </c>
      <c r="I5" s="10" t="s">
        <v>74</v>
      </c>
      <c r="J5" s="10" t="s">
        <v>75</v>
      </c>
    </row>
    <row r="6" spans="1:10" x14ac:dyDescent="0.25">
      <c r="A6" s="11" t="s">
        <v>2</v>
      </c>
      <c r="B6" s="12">
        <v>1</v>
      </c>
      <c r="C6" s="13">
        <v>2</v>
      </c>
      <c r="D6" s="13">
        <v>2</v>
      </c>
      <c r="E6" s="13">
        <v>2</v>
      </c>
      <c r="F6" s="13">
        <v>1</v>
      </c>
      <c r="G6" s="14">
        <f>GEOMEAN(B6:F6)</f>
        <v>1.515716566510398</v>
      </c>
      <c r="H6" s="14">
        <f>G6/SUM($G$6:$G$10)</f>
        <v>0.2917802556926844</v>
      </c>
      <c r="I6" s="14">
        <f>B6*$H$6+C6*$H$7+D6*$H$8+E6*$H$9+F6*$H$10</f>
        <v>1.515716566510398</v>
      </c>
      <c r="J6" s="14">
        <f>I6/H6</f>
        <v>5.1947194401900045</v>
      </c>
    </row>
    <row r="7" spans="1:10" x14ac:dyDescent="0.25">
      <c r="A7" s="11" t="s">
        <v>3</v>
      </c>
      <c r="B7" s="12">
        <f>1/C6</f>
        <v>0.5</v>
      </c>
      <c r="C7" s="12">
        <v>1</v>
      </c>
      <c r="D7" s="13">
        <v>1</v>
      </c>
      <c r="E7" s="13">
        <f>1/2</f>
        <v>0.5</v>
      </c>
      <c r="F7" s="13">
        <v>2</v>
      </c>
      <c r="G7" s="14">
        <f>GEOMEAN(B7:F7)</f>
        <v>0.87055056329612412</v>
      </c>
      <c r="H7" s="14">
        <f>G7/SUM($G$6:$G$10)</f>
        <v>0.16758374986740043</v>
      </c>
      <c r="I7" s="14">
        <f>B7*$H$6+C7*$H$7+D7*$H$8+E7*$H$9+F7*$H$10</f>
        <v>0.93604900811706471</v>
      </c>
      <c r="J7" s="14">
        <f>I7/H7</f>
        <v>5.58555951193184</v>
      </c>
    </row>
    <row r="8" spans="1:10" x14ac:dyDescent="0.25">
      <c r="A8" s="11" t="s">
        <v>4</v>
      </c>
      <c r="B8" s="12">
        <f>1/D6</f>
        <v>0.5</v>
      </c>
      <c r="C8" s="12">
        <f>1/D7</f>
        <v>1</v>
      </c>
      <c r="D8" s="12">
        <v>1</v>
      </c>
      <c r="E8" s="13">
        <f>1/2</f>
        <v>0.5</v>
      </c>
      <c r="F8" s="13">
        <f>1/2</f>
        <v>0.5</v>
      </c>
      <c r="G8" s="14">
        <f>GEOMEAN(B8:F8)</f>
        <v>0.6597539553864471</v>
      </c>
      <c r="H8" s="14">
        <f>G8/SUM($G$6:$G$10)</f>
        <v>0.12700473297597678</v>
      </c>
      <c r="I8" s="14">
        <f>B8*$H$6+C8*$H$7+D8*$H$8+E8*$H$9+F8*$H$10</f>
        <v>0.64729424142168857</v>
      </c>
      <c r="J8" s="14">
        <f>I8/H8</f>
        <v>5.0966151123212526</v>
      </c>
    </row>
    <row r="9" spans="1:10" x14ac:dyDescent="0.25">
      <c r="A9" s="11" t="s">
        <v>5</v>
      </c>
      <c r="B9" s="12">
        <f>1/E6</f>
        <v>0.5</v>
      </c>
      <c r="C9" s="12">
        <f>1/E7</f>
        <v>2</v>
      </c>
      <c r="D9" s="12">
        <f>1/E8</f>
        <v>2</v>
      </c>
      <c r="E9" s="12">
        <v>1</v>
      </c>
      <c r="F9" s="13">
        <v>1</v>
      </c>
      <c r="G9" s="14">
        <f>GEOMEAN(B9:F9)</f>
        <v>1.1486983549970351</v>
      </c>
      <c r="H9" s="14">
        <f>G9/SUM($G$6:$G$10)</f>
        <v>0.22112808366702086</v>
      </c>
      <c r="I9" s="14">
        <f>B9*$H$6+C9*$H$7+D9*$H$8+E9*$H$9+F9*$H$10</f>
        <v>1.1486983549970349</v>
      </c>
      <c r="J9" s="14">
        <f>I9/H9</f>
        <v>5.1947194401900036</v>
      </c>
    </row>
    <row r="10" spans="1:10" x14ac:dyDescent="0.25">
      <c r="A10" s="11" t="s">
        <v>6</v>
      </c>
      <c r="B10" s="12">
        <f>1/F6</f>
        <v>1</v>
      </c>
      <c r="C10" s="12">
        <f>1/F7</f>
        <v>0.5</v>
      </c>
      <c r="D10" s="12">
        <f>1/F8</f>
        <v>2</v>
      </c>
      <c r="E10" s="12">
        <f>1/F9</f>
        <v>1</v>
      </c>
      <c r="F10" s="12">
        <v>1</v>
      </c>
      <c r="G10" s="14">
        <f>GEOMEAN(B10:F10)</f>
        <v>1</v>
      </c>
      <c r="H10" s="14">
        <f>G10/SUM($G$6:$G$10)</f>
        <v>0.19250317779691747</v>
      </c>
      <c r="I10" s="14">
        <f>B10*$H$6+C10*$H$7+D10*$H$8+E10*$H$9+F10*$H$10</f>
        <v>1.0432128580422766</v>
      </c>
      <c r="J10" s="14">
        <f>I10/H10</f>
        <v>5.4191981139283891</v>
      </c>
    </row>
    <row r="11" spans="1:10" x14ac:dyDescent="0.25">
      <c r="A11" s="15" t="s">
        <v>76</v>
      </c>
      <c r="B11" s="14">
        <f>AVERAGE(J6:J10)</f>
        <v>5.2981623237122975</v>
      </c>
    </row>
    <row r="12" spans="1:10" x14ac:dyDescent="0.25">
      <c r="A12" s="15" t="s">
        <v>77</v>
      </c>
      <c r="B12" s="16">
        <f>(B11-5)/(5-1)</f>
        <v>7.4540580928074363E-2</v>
      </c>
    </row>
    <row r="13" spans="1:10" ht="30" x14ac:dyDescent="0.25">
      <c r="A13" s="15" t="s">
        <v>78</v>
      </c>
      <c r="B13" s="17">
        <f>B12/'Концепции и критерии'!$C$38</f>
        <v>6.6554090114352107E-2</v>
      </c>
      <c r="C13" s="32" t="str">
        <f>IF(B13&lt;=0.1,"согласована (ОС ≤ 10%)","требует пересмотра")</f>
        <v>согласована (ОС ≤ 10%)</v>
      </c>
      <c r="D13" s="32"/>
    </row>
    <row r="15" spans="1:10" x14ac:dyDescent="0.25">
      <c r="A15" s="30" t="s">
        <v>79</v>
      </c>
      <c r="B15" s="31"/>
      <c r="C15" s="31"/>
      <c r="D15" s="31"/>
      <c r="E15" s="31"/>
      <c r="F15" s="31"/>
      <c r="G15" s="31"/>
      <c r="H15" s="31"/>
      <c r="I15" s="31"/>
      <c r="J15" s="31"/>
    </row>
    <row r="16" spans="1:10" ht="32.1" customHeight="1" x14ac:dyDescent="0.25">
      <c r="A16" s="10" t="s">
        <v>37</v>
      </c>
      <c r="B16" s="10" t="s">
        <v>2</v>
      </c>
      <c r="C16" s="10" t="s">
        <v>3</v>
      </c>
      <c r="D16" s="10" t="s">
        <v>4</v>
      </c>
      <c r="E16" s="10" t="s">
        <v>5</v>
      </c>
      <c r="F16" s="10" t="s">
        <v>6</v>
      </c>
      <c r="G16" s="10" t="s">
        <v>72</v>
      </c>
      <c r="H16" s="10" t="s">
        <v>73</v>
      </c>
      <c r="I16" s="10" t="s">
        <v>74</v>
      </c>
      <c r="J16" s="10" t="s">
        <v>75</v>
      </c>
    </row>
    <row r="17" spans="1:10" x14ac:dyDescent="0.25">
      <c r="A17" s="11" t="s">
        <v>2</v>
      </c>
      <c r="B17" s="12">
        <v>1</v>
      </c>
      <c r="C17" s="13">
        <v>1</v>
      </c>
      <c r="D17" s="13">
        <v>4</v>
      </c>
      <c r="E17" s="13">
        <v>1</v>
      </c>
      <c r="F17" s="13">
        <v>1</v>
      </c>
      <c r="G17" s="14">
        <f>GEOMEAN(B17:F17)</f>
        <v>1.3195079107728942</v>
      </c>
      <c r="H17" s="14">
        <f>G17/SUM($G$17:$G$21)</f>
        <v>0.2474120674585738</v>
      </c>
      <c r="I17" s="14">
        <f>B17*$H$17+C17*$H$18+D17*$H$19+E17*$H$20+F17*$H$21</f>
        <v>1.2593473933770922</v>
      </c>
      <c r="J17" s="14">
        <f>I17/H17</f>
        <v>5.090080715597896</v>
      </c>
    </row>
    <row r="18" spans="1:10" x14ac:dyDescent="0.25">
      <c r="A18" s="11" t="s">
        <v>3</v>
      </c>
      <c r="B18" s="12">
        <f>1/C17</f>
        <v>1</v>
      </c>
      <c r="C18" s="12">
        <v>1</v>
      </c>
      <c r="D18" s="13">
        <v>2</v>
      </c>
      <c r="E18" s="13">
        <v>2</v>
      </c>
      <c r="F18" s="13">
        <v>1</v>
      </c>
      <c r="G18" s="14">
        <f>GEOMEAN(B18:F18)</f>
        <v>1.3195079107728942</v>
      </c>
      <c r="H18" s="14">
        <f>G18/SUM($G$17:$G$21)</f>
        <v>0.2474120674585738</v>
      </c>
      <c r="I18" s="14">
        <f>B18*$H$17+C18*$H$18+D18*$H$19+E18*$H$20+F18*$H$21</f>
        <v>1.2897911503905326</v>
      </c>
      <c r="J18" s="14">
        <f>I18/H18</f>
        <v>5.2131295115849303</v>
      </c>
    </row>
    <row r="19" spans="1:10" x14ac:dyDescent="0.25">
      <c r="A19" s="11" t="s">
        <v>4</v>
      </c>
      <c r="B19" s="12">
        <f>1/D17</f>
        <v>0.25</v>
      </c>
      <c r="C19" s="12">
        <f>1/D18</f>
        <v>0.5</v>
      </c>
      <c r="D19" s="12">
        <v>1</v>
      </c>
      <c r="E19" s="13">
        <f>1/3</f>
        <v>0.33333333333333331</v>
      </c>
      <c r="F19" s="13">
        <f>1/2</f>
        <v>0.5</v>
      </c>
      <c r="G19" s="14">
        <f>GEOMEAN(B19:F19)</f>
        <v>0.46105395574086389</v>
      </c>
      <c r="H19" s="14">
        <f>G19/SUM($G$17:$G$21)</f>
        <v>8.6449131125697368E-2</v>
      </c>
      <c r="I19" s="14">
        <f>B19*$H$17+C19*$H$18+D19*$H$19+E19*$H$20+F19*$H$21</f>
        <v>0.44748121215406605</v>
      </c>
      <c r="J19" s="14">
        <f>I19/H19</f>
        <v>5.1762372429565158</v>
      </c>
    </row>
    <row r="20" spans="1:10" x14ac:dyDescent="0.25">
      <c r="A20" s="11" t="s">
        <v>5</v>
      </c>
      <c r="B20" s="12">
        <f>1/E17</f>
        <v>1</v>
      </c>
      <c r="C20" s="12">
        <f>1/E18</f>
        <v>0.5</v>
      </c>
      <c r="D20" s="12">
        <f>1/E19</f>
        <v>3</v>
      </c>
      <c r="E20" s="12">
        <v>1</v>
      </c>
      <c r="F20" s="13">
        <v>1</v>
      </c>
      <c r="G20" s="14">
        <f>GEOMEAN(B20:F20)</f>
        <v>1.0844717711976986</v>
      </c>
      <c r="H20" s="14">
        <f>G20/SUM($G$17:$G$21)</f>
        <v>0.20334201926483497</v>
      </c>
      <c r="I20" s="14">
        <f>B20*$H$17+C20*$H$18+D20*$H$19+E20*$H$20+F20*$H$21</f>
        <v>1.049192228522108</v>
      </c>
      <c r="J20" s="14">
        <f>I20/H20</f>
        <v>5.1597413673542212</v>
      </c>
    </row>
    <row r="21" spans="1:10" x14ac:dyDescent="0.25">
      <c r="A21" s="11" t="s">
        <v>6</v>
      </c>
      <c r="B21" s="12">
        <f>1/F17</f>
        <v>1</v>
      </c>
      <c r="C21" s="12">
        <f>1/F18</f>
        <v>1</v>
      </c>
      <c r="D21" s="12">
        <f>1/F19</f>
        <v>2</v>
      </c>
      <c r="E21" s="12">
        <f>1/F20</f>
        <v>1</v>
      </c>
      <c r="F21" s="12">
        <v>1</v>
      </c>
      <c r="G21" s="14">
        <f>GEOMEAN(B21:F21)</f>
        <v>1.1486983549970351</v>
      </c>
      <c r="H21" s="14">
        <f>G21/SUM($G$17:$G$21)</f>
        <v>0.21538471469232012</v>
      </c>
      <c r="I21" s="14">
        <f>B21*$H$17+C21*$H$18+D21*$H$19+E21*$H$20+F21*$H$21</f>
        <v>1.0864491311256974</v>
      </c>
      <c r="J21" s="14">
        <f>I21/H21</f>
        <v>5.0442257830492023</v>
      </c>
    </row>
    <row r="22" spans="1:10" x14ac:dyDescent="0.25">
      <c r="A22" s="15" t="s">
        <v>76</v>
      </c>
      <c r="B22" s="14">
        <f>AVERAGE(J17:J21)</f>
        <v>5.1366829241085536</v>
      </c>
    </row>
    <row r="23" spans="1:10" x14ac:dyDescent="0.25">
      <c r="A23" s="15" t="s">
        <v>77</v>
      </c>
      <c r="B23" s="16">
        <f>(B22-5)/(5-1)</f>
        <v>3.4170731027138412E-2</v>
      </c>
    </row>
    <row r="24" spans="1:10" ht="30" x14ac:dyDescent="0.25">
      <c r="A24" s="15" t="s">
        <v>78</v>
      </c>
      <c r="B24" s="17">
        <f>B23/'Концепции и критерии'!$C$38</f>
        <v>3.0509581274230722E-2</v>
      </c>
      <c r="C24" s="32" t="str">
        <f>IF(B24&lt;=0.1,"согласована (ОС ≤ 10%)","требует пересмотра")</f>
        <v>согласована (ОС ≤ 10%)</v>
      </c>
      <c r="D24" s="32"/>
    </row>
    <row r="26" spans="1:10" x14ac:dyDescent="0.25">
      <c r="A26" s="30" t="s">
        <v>80</v>
      </c>
      <c r="B26" s="31"/>
      <c r="C26" s="31"/>
      <c r="D26" s="31"/>
      <c r="E26" s="31"/>
      <c r="F26" s="31"/>
      <c r="G26" s="31"/>
      <c r="H26" s="31"/>
      <c r="I26" s="31"/>
      <c r="J26" s="31"/>
    </row>
    <row r="27" spans="1:10" ht="32.1" customHeight="1" x14ac:dyDescent="0.25">
      <c r="A27" s="10" t="s">
        <v>37</v>
      </c>
      <c r="B27" s="10" t="s">
        <v>2</v>
      </c>
      <c r="C27" s="10" t="s">
        <v>3</v>
      </c>
      <c r="D27" s="10" t="s">
        <v>4</v>
      </c>
      <c r="E27" s="10" t="s">
        <v>5</v>
      </c>
      <c r="F27" s="10" t="s">
        <v>6</v>
      </c>
      <c r="G27" s="10" t="s">
        <v>72</v>
      </c>
      <c r="H27" s="10" t="s">
        <v>73</v>
      </c>
      <c r="I27" s="10" t="s">
        <v>74</v>
      </c>
      <c r="J27" s="10" t="s">
        <v>75</v>
      </c>
    </row>
    <row r="28" spans="1:10" x14ac:dyDescent="0.25">
      <c r="A28" s="11" t="s">
        <v>2</v>
      </c>
      <c r="B28" s="12">
        <v>1</v>
      </c>
      <c r="C28" s="13">
        <v>2</v>
      </c>
      <c r="D28" s="13">
        <v>3</v>
      </c>
      <c r="E28" s="13">
        <v>1</v>
      </c>
      <c r="F28" s="13">
        <v>1</v>
      </c>
      <c r="G28" s="14">
        <f>GEOMEAN(B28:F28)</f>
        <v>1.4309690811052556</v>
      </c>
      <c r="H28" s="14">
        <f>G28/SUM($G$28:$G$32)</f>
        <v>0.27176845676402078</v>
      </c>
      <c r="I28" s="14">
        <f>B28*$H$28+C28*$H$29+D28*$H$30+E28*$H$31+F28*$H$32</f>
        <v>1.375011913160809</v>
      </c>
      <c r="J28" s="14">
        <f>I28/H28</f>
        <v>5.0594978149165604</v>
      </c>
    </row>
    <row r="29" spans="1:10" x14ac:dyDescent="0.25">
      <c r="A29" s="11" t="s">
        <v>3</v>
      </c>
      <c r="B29" s="12">
        <f>1/C28</f>
        <v>0.5</v>
      </c>
      <c r="C29" s="12">
        <v>1</v>
      </c>
      <c r="D29" s="13">
        <v>1</v>
      </c>
      <c r="E29" s="13">
        <v>1</v>
      </c>
      <c r="F29" s="13">
        <f>1/2</f>
        <v>0.5</v>
      </c>
      <c r="G29" s="14">
        <f>GEOMEAN(B29:F29)</f>
        <v>0.75785828325519911</v>
      </c>
      <c r="H29" s="14">
        <f>G29/SUM($G$28:$G$32)</f>
        <v>0.14393181432474708</v>
      </c>
      <c r="I29" s="14">
        <f>B29*$H$28+C29*$H$29+D29*$H$30+E29*$H$31+F29*$H$32</f>
        <v>0.73881584958134794</v>
      </c>
      <c r="J29" s="14">
        <f>I29/H29</f>
        <v>5.1330962028616547</v>
      </c>
    </row>
    <row r="30" spans="1:10" x14ac:dyDescent="0.25">
      <c r="A30" s="11" t="s">
        <v>4</v>
      </c>
      <c r="B30" s="12">
        <f>1/D28</f>
        <v>0.33333333333333331</v>
      </c>
      <c r="C30" s="12">
        <f>1/D29</f>
        <v>1</v>
      </c>
      <c r="D30" s="12">
        <v>1</v>
      </c>
      <c r="E30" s="13">
        <f>1/2</f>
        <v>0.5</v>
      </c>
      <c r="F30" s="13">
        <f>1/2</f>
        <v>0.5</v>
      </c>
      <c r="G30" s="14">
        <f>GEOMEAN(B30:F30)</f>
        <v>0.60836434189320576</v>
      </c>
      <c r="H30" s="14">
        <f>G30/SUM($G$28:$G$32)</f>
        <v>0.115540049418031</v>
      </c>
      <c r="I30" s="14">
        <f>B30*$H$28+C30*$H$29+D30*$H$30+E30*$H$31+F30*$H$32</f>
        <v>0.58444118907738563</v>
      </c>
      <c r="J30" s="14">
        <f>I30/H30</f>
        <v>5.0583429037912344</v>
      </c>
    </row>
    <row r="31" spans="1:10" x14ac:dyDescent="0.25">
      <c r="A31" s="11" t="s">
        <v>5</v>
      </c>
      <c r="B31" s="12">
        <f>1/E28</f>
        <v>1</v>
      </c>
      <c r="C31" s="12">
        <f>1/E29</f>
        <v>1</v>
      </c>
      <c r="D31" s="12">
        <f>1/E30</f>
        <v>2</v>
      </c>
      <c r="E31" s="12">
        <v>1</v>
      </c>
      <c r="F31" s="13">
        <v>1</v>
      </c>
      <c r="G31" s="14">
        <f>GEOMEAN(B31:F31)</f>
        <v>1.1486983549970351</v>
      </c>
      <c r="H31" s="14">
        <f>G31/SUM($G$28:$G$32)</f>
        <v>0.21815983541991776</v>
      </c>
      <c r="I31" s="14">
        <f>B31*$H$28+C31*$H$29+D31*$H$30+E31*$H$31+F31*$H$32</f>
        <v>1.115540049418031</v>
      </c>
      <c r="J31" s="14">
        <f>I31/H31</f>
        <v>5.1134070910478115</v>
      </c>
    </row>
    <row r="32" spans="1:10" x14ac:dyDescent="0.25">
      <c r="A32" s="11" t="s">
        <v>6</v>
      </c>
      <c r="B32" s="12">
        <f>1/F28</f>
        <v>1</v>
      </c>
      <c r="C32" s="12">
        <f>1/F29</f>
        <v>2</v>
      </c>
      <c r="D32" s="12">
        <f>1/F30</f>
        <v>2</v>
      </c>
      <c r="E32" s="12">
        <f>1/F31</f>
        <v>1</v>
      </c>
      <c r="F32" s="12">
        <v>1</v>
      </c>
      <c r="G32" s="14">
        <f>GEOMEAN(B32:F32)</f>
        <v>1.3195079107728942</v>
      </c>
      <c r="H32" s="14">
        <f>G32/SUM($G$28:$G$32)</f>
        <v>0.2505998440732834</v>
      </c>
      <c r="I32" s="14">
        <f>B32*$H$28+C32*$H$29+D32*$H$30+E32*$H$31+F32*$H$32</f>
        <v>1.2594718637427782</v>
      </c>
      <c r="J32" s="14">
        <f>I32/H32</f>
        <v>5.0258286009725861</v>
      </c>
    </row>
    <row r="33" spans="1:10" x14ac:dyDescent="0.25">
      <c r="A33" s="15" t="s">
        <v>76</v>
      </c>
      <c r="B33" s="14">
        <f>AVERAGE(J28:J32)</f>
        <v>5.0780345227179691</v>
      </c>
    </row>
    <row r="34" spans="1:10" x14ac:dyDescent="0.25">
      <c r="A34" s="15" t="s">
        <v>77</v>
      </c>
      <c r="B34" s="16">
        <f>(B33-5)/(5-1)</f>
        <v>1.9508630679492267E-2</v>
      </c>
    </row>
    <row r="35" spans="1:10" ht="30" x14ac:dyDescent="0.25">
      <c r="A35" s="15" t="s">
        <v>78</v>
      </c>
      <c r="B35" s="17">
        <f>B34/'Концепции и критерии'!$C$38</f>
        <v>1.7418420249546665E-2</v>
      </c>
      <c r="C35" s="32" t="str">
        <f>IF(B35&lt;=0.1,"согласована (ОС ≤ 10%)","требует пересмотра")</f>
        <v>согласована (ОС ≤ 10%)</v>
      </c>
      <c r="D35" s="32"/>
    </row>
    <row r="37" spans="1:10" x14ac:dyDescent="0.25">
      <c r="A37" s="30" t="s">
        <v>81</v>
      </c>
      <c r="B37" s="31"/>
      <c r="C37" s="31"/>
      <c r="D37" s="31"/>
      <c r="E37" s="31"/>
      <c r="F37" s="31"/>
      <c r="G37" s="31"/>
      <c r="H37" s="31"/>
      <c r="I37" s="31"/>
      <c r="J37" s="31"/>
    </row>
    <row r="38" spans="1:10" ht="32.1" customHeight="1" x14ac:dyDescent="0.25">
      <c r="A38" s="10" t="s">
        <v>37</v>
      </c>
      <c r="B38" s="10" t="s">
        <v>2</v>
      </c>
      <c r="C38" s="10" t="s">
        <v>3</v>
      </c>
      <c r="D38" s="10" t="s">
        <v>4</v>
      </c>
      <c r="E38" s="10" t="s">
        <v>5</v>
      </c>
      <c r="F38" s="10" t="s">
        <v>6</v>
      </c>
      <c r="G38" s="10" t="s">
        <v>72</v>
      </c>
      <c r="H38" s="10" t="s">
        <v>73</v>
      </c>
      <c r="I38" s="10" t="s">
        <v>74</v>
      </c>
      <c r="J38" s="10" t="s">
        <v>75</v>
      </c>
    </row>
    <row r="39" spans="1:10" x14ac:dyDescent="0.25">
      <c r="A39" s="11" t="s">
        <v>2</v>
      </c>
      <c r="B39" s="14">
        <f t="shared" ref="B39:F43" si="0">GEOMEAN(B6,B17,B28)</f>
        <v>1</v>
      </c>
      <c r="C39" s="14">
        <f t="shared" si="0"/>
        <v>1.5874010519681994</v>
      </c>
      <c r="D39" s="14">
        <f t="shared" si="0"/>
        <v>2.8844991406148166</v>
      </c>
      <c r="E39" s="14">
        <f t="shared" si="0"/>
        <v>1.2599210498948732</v>
      </c>
      <c r="F39" s="14">
        <f t="shared" si="0"/>
        <v>1</v>
      </c>
      <c r="G39" s="14">
        <f>GEOMEAN(B39:F39)</f>
        <v>1.4197768217346516</v>
      </c>
      <c r="H39" s="18">
        <f>G39/SUM($G$39:$G$43)</f>
        <v>0.27198522275616566</v>
      </c>
      <c r="I39" s="14">
        <f>B39*$H$39+C39*$H$40+D39*$H$41+E39*$H$42+F39*$H$43</f>
        <v>1.3692816321089127</v>
      </c>
      <c r="J39" s="14">
        <f>I39/H39</f>
        <v>5.0343971567031485</v>
      </c>
    </row>
    <row r="40" spans="1:10" x14ac:dyDescent="0.25">
      <c r="A40" s="11" t="s">
        <v>3</v>
      </c>
      <c r="B40" s="14">
        <f t="shared" si="0"/>
        <v>0.6299605249474366</v>
      </c>
      <c r="C40" s="14">
        <f t="shared" si="0"/>
        <v>1</v>
      </c>
      <c r="D40" s="14">
        <f t="shared" si="0"/>
        <v>1.2599210498948732</v>
      </c>
      <c r="E40" s="14">
        <f t="shared" si="0"/>
        <v>1</v>
      </c>
      <c r="F40" s="14">
        <f t="shared" si="0"/>
        <v>1</v>
      </c>
      <c r="G40" s="14">
        <f>GEOMEAN(B40:F40)</f>
        <v>0.95484160391041661</v>
      </c>
      <c r="H40" s="18">
        <f>G40/SUM($G$39:$G$43)</f>
        <v>0.18291804906290138</v>
      </c>
      <c r="I40" s="14">
        <f>B40*$H$39+C40*$H$40+D40*$H$41+E40*$H$42+F40*$H$43</f>
        <v>0.92772951173317375</v>
      </c>
      <c r="J40" s="14">
        <f>I40/H40</f>
        <v>5.0718314375534836</v>
      </c>
    </row>
    <row r="41" spans="1:10" x14ac:dyDescent="0.25">
      <c r="A41" s="11" t="s">
        <v>4</v>
      </c>
      <c r="B41" s="14">
        <f t="shared" si="0"/>
        <v>0.34668063717531733</v>
      </c>
      <c r="C41" s="14">
        <f t="shared" si="0"/>
        <v>0.79370052598409979</v>
      </c>
      <c r="D41" s="14">
        <f t="shared" si="0"/>
        <v>1</v>
      </c>
      <c r="E41" s="14">
        <f t="shared" si="0"/>
        <v>0.43679023236814946</v>
      </c>
      <c r="F41" s="14">
        <f t="shared" si="0"/>
        <v>0.5</v>
      </c>
      <c r="G41" s="14">
        <f>GEOMEAN(B41:F41)</f>
        <v>0.56985693161512552</v>
      </c>
      <c r="H41" s="18">
        <f>G41/SUM($G$39:$G$43)</f>
        <v>0.10916692124549435</v>
      </c>
      <c r="I41" s="14">
        <f>B41*$H$39+C41*$H$40+D41*$H$41+E41*$H$42+F41*$H$43</f>
        <v>0.5529605899404445</v>
      </c>
      <c r="J41" s="14">
        <f>I41/H41</f>
        <v>5.0652760344587158</v>
      </c>
    </row>
    <row r="42" spans="1:10" x14ac:dyDescent="0.25">
      <c r="A42" s="11" t="s">
        <v>5</v>
      </c>
      <c r="B42" s="14">
        <f t="shared" si="0"/>
        <v>0.79370052598409979</v>
      </c>
      <c r="C42" s="14">
        <f t="shared" si="0"/>
        <v>1</v>
      </c>
      <c r="D42" s="14">
        <f t="shared" si="0"/>
        <v>2.2894284851066637</v>
      </c>
      <c r="E42" s="14">
        <f t="shared" si="0"/>
        <v>1</v>
      </c>
      <c r="F42" s="14">
        <f t="shared" si="0"/>
        <v>1</v>
      </c>
      <c r="G42" s="14">
        <f>GEOMEAN(B42:F42)</f>
        <v>1.1268776101908264</v>
      </c>
      <c r="H42" s="18">
        <f>G42/SUM($G$39:$G$43)</f>
        <v>0.21587481436147124</v>
      </c>
      <c r="I42" s="14">
        <f>B42*$H$39+C42*$H$40+D42*$H$41+E42*$H$42+F42*$H$43</f>
        <v>1.0846525294906417</v>
      </c>
      <c r="J42" s="14">
        <f>I42/H42</f>
        <v>5.0244514752630982</v>
      </c>
    </row>
    <row r="43" spans="1:10" x14ac:dyDescent="0.25">
      <c r="A43" s="11" t="s">
        <v>6</v>
      </c>
      <c r="B43" s="14">
        <f t="shared" si="0"/>
        <v>1</v>
      </c>
      <c r="C43" s="14">
        <f t="shared" si="0"/>
        <v>1</v>
      </c>
      <c r="D43" s="14">
        <f t="shared" si="0"/>
        <v>2</v>
      </c>
      <c r="E43" s="14">
        <f t="shared" si="0"/>
        <v>1</v>
      </c>
      <c r="F43" s="14">
        <f t="shared" si="0"/>
        <v>1</v>
      </c>
      <c r="G43" s="14">
        <f>GEOMEAN(B43:F43)</f>
        <v>1.1486983549970351</v>
      </c>
      <c r="H43" s="18">
        <f>G43/SUM($G$39:$G$43)</f>
        <v>0.2200549925739673</v>
      </c>
      <c r="I43" s="14">
        <f>B43*$H$39+C43*$H$40+D43*$H$41+E43*$H$42+F43*$H$43</f>
        <v>1.1091669212454942</v>
      </c>
      <c r="J43" s="14">
        <f>I43/H43</f>
        <v>5.0404078920075799</v>
      </c>
    </row>
    <row r="44" spans="1:10" x14ac:dyDescent="0.25">
      <c r="A44" s="15" t="s">
        <v>76</v>
      </c>
      <c r="B44" s="14">
        <f>AVERAGE(J39:J43)</f>
        <v>5.0472727991972048</v>
      </c>
    </row>
    <row r="45" spans="1:10" x14ac:dyDescent="0.25">
      <c r="A45" s="15" t="s">
        <v>77</v>
      </c>
      <c r="B45" s="16">
        <f>(B44-5)/(5-1)</f>
        <v>1.181819979930121E-2</v>
      </c>
    </row>
    <row r="46" spans="1:10" ht="30" x14ac:dyDescent="0.25">
      <c r="A46" s="15" t="s">
        <v>78</v>
      </c>
      <c r="B46" s="17">
        <f>B45/'Концепции и критерии'!$C$38</f>
        <v>1.0551964106518937E-2</v>
      </c>
      <c r="C46" s="32" t="str">
        <f>IF(B46&lt;=0.1,"согласована (ОС ≤ 10%)","требует пересмотра")</f>
        <v>согласована (ОС ≤ 10%)</v>
      </c>
      <c r="D46" s="32"/>
    </row>
  </sheetData>
  <mergeCells count="10">
    <mergeCell ref="A1:J1"/>
    <mergeCell ref="A37:J37"/>
    <mergeCell ref="C46:D46"/>
    <mergeCell ref="C24:D24"/>
    <mergeCell ref="A15:J15"/>
    <mergeCell ref="A4:J4"/>
    <mergeCell ref="C13:D13"/>
    <mergeCell ref="A26:J26"/>
    <mergeCell ref="A2:J2"/>
    <mergeCell ref="C35:D3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46"/>
  <sheetViews>
    <sheetView workbookViewId="0">
      <selection sqref="A1:J1"/>
    </sheetView>
  </sheetViews>
  <sheetFormatPr defaultColWidth="8.85546875" defaultRowHeight="15" x14ac:dyDescent="0.25"/>
  <cols>
    <col min="1" max="1" width="30" customWidth="1"/>
    <col min="2" max="29" width="12.42578125" customWidth="1"/>
  </cols>
  <sheetData>
    <row r="1" spans="1:10" ht="21.95" customHeight="1" x14ac:dyDescent="0.25">
      <c r="A1" s="27" t="s">
        <v>82</v>
      </c>
      <c r="B1" s="28"/>
      <c r="C1" s="28"/>
      <c r="D1" s="28"/>
      <c r="E1" s="28"/>
      <c r="F1" s="28"/>
      <c r="G1" s="28"/>
      <c r="H1" s="28"/>
      <c r="I1" s="28"/>
      <c r="J1" s="28"/>
    </row>
    <row r="2" spans="1:10" ht="30" customHeight="1" x14ac:dyDescent="0.25">
      <c r="A2" s="29" t="s">
        <v>70</v>
      </c>
      <c r="B2" s="28"/>
      <c r="C2" s="28"/>
      <c r="D2" s="28"/>
      <c r="E2" s="28"/>
      <c r="F2" s="28"/>
      <c r="G2" s="28"/>
      <c r="H2" s="28"/>
      <c r="I2" s="28"/>
      <c r="J2" s="28"/>
    </row>
    <row r="4" spans="1:10" x14ac:dyDescent="0.25">
      <c r="A4" s="30" t="s">
        <v>71</v>
      </c>
      <c r="B4" s="31"/>
      <c r="C4" s="31"/>
      <c r="D4" s="31"/>
      <c r="E4" s="31"/>
      <c r="F4" s="31"/>
      <c r="G4" s="31"/>
      <c r="H4" s="31"/>
      <c r="I4" s="31"/>
      <c r="J4" s="31"/>
    </row>
    <row r="5" spans="1:10" ht="32.1" customHeight="1" x14ac:dyDescent="0.25">
      <c r="A5" s="10" t="s">
        <v>83</v>
      </c>
      <c r="B5" s="10" t="s">
        <v>9</v>
      </c>
      <c r="C5" s="10" t="s">
        <v>10</v>
      </c>
      <c r="D5" s="10" t="s">
        <v>11</v>
      </c>
      <c r="E5" s="10" t="s">
        <v>12</v>
      </c>
      <c r="F5" s="10" t="s">
        <v>13</v>
      </c>
      <c r="G5" s="10" t="s">
        <v>72</v>
      </c>
      <c r="H5" s="10" t="s">
        <v>73</v>
      </c>
      <c r="I5" s="10" t="s">
        <v>74</v>
      </c>
      <c r="J5" s="10" t="s">
        <v>75</v>
      </c>
    </row>
    <row r="6" spans="1:10" x14ac:dyDescent="0.25">
      <c r="A6" s="11" t="s">
        <v>9</v>
      </c>
      <c r="B6" s="12">
        <v>1</v>
      </c>
      <c r="C6" s="13">
        <v>3</v>
      </c>
      <c r="D6" s="13">
        <v>2</v>
      </c>
      <c r="E6" s="13">
        <v>6</v>
      </c>
      <c r="F6" s="13">
        <v>2</v>
      </c>
      <c r="G6" s="14">
        <f>GEOMEAN(B6:F6)</f>
        <v>2.3521580450493471</v>
      </c>
      <c r="H6" s="14">
        <f>G6/SUM($G$6:$G$10)</f>
        <v>0.37634228366659933</v>
      </c>
      <c r="I6" s="14">
        <f>B6*$H$6+C6*$H$7+D6*$H$8+E6*$H$9+F6*$H$10</f>
        <v>1.9329643749842322</v>
      </c>
      <c r="J6" s="14">
        <f>I6/H6</f>
        <v>5.1361870798887974</v>
      </c>
    </row>
    <row r="7" spans="1:10" x14ac:dyDescent="0.25">
      <c r="A7" s="11" t="s">
        <v>10</v>
      </c>
      <c r="B7" s="12">
        <f>1/C6</f>
        <v>0.33333333333333331</v>
      </c>
      <c r="C7" s="12">
        <v>1</v>
      </c>
      <c r="D7" s="13">
        <f>1/2</f>
        <v>0.5</v>
      </c>
      <c r="E7" s="13">
        <v>2</v>
      </c>
      <c r="F7" s="13">
        <f>1/3</f>
        <v>0.33333333333333331</v>
      </c>
      <c r="G7" s="14">
        <f>GEOMEAN(B7:F7)</f>
        <v>0.64439401497725424</v>
      </c>
      <c r="H7" s="14">
        <f>G7/SUM($G$6:$G$10)</f>
        <v>0.10310221955027724</v>
      </c>
      <c r="I7" s="14">
        <f>B7*$H$6+C7*$H$7+D7*$H$8+E7*$H$9+F7*$H$10</f>
        <v>0.51861837432409497</v>
      </c>
      <c r="J7" s="14">
        <f>I7/H7</f>
        <v>5.030137824251141</v>
      </c>
    </row>
    <row r="8" spans="1:10" x14ac:dyDescent="0.25">
      <c r="A8" s="11" t="s">
        <v>11</v>
      </c>
      <c r="B8" s="12">
        <f>1/D6</f>
        <v>0.5</v>
      </c>
      <c r="C8" s="12">
        <f>1/D7</f>
        <v>2</v>
      </c>
      <c r="D8" s="12">
        <v>1</v>
      </c>
      <c r="E8" s="13">
        <v>4</v>
      </c>
      <c r="F8" s="13">
        <f>1/2</f>
        <v>0.5</v>
      </c>
      <c r="G8" s="14">
        <f>GEOMEAN(B8:F8)</f>
        <v>1.1486983549970351</v>
      </c>
      <c r="H8" s="14">
        <f>G8/SUM($G$6:$G$10)</f>
        <v>0.18379026999207473</v>
      </c>
      <c r="I8" s="14">
        <f>B8*$H$6+C8*$H$7+D8*$H$8+E8*$H$9+F8*$H$10</f>
        <v>0.92697734853443836</v>
      </c>
      <c r="J8" s="14">
        <f>I8/H8</f>
        <v>5.0436693333896878</v>
      </c>
    </row>
    <row r="9" spans="1:10" x14ac:dyDescent="0.25">
      <c r="A9" s="11" t="s">
        <v>12</v>
      </c>
      <c r="B9" s="12">
        <f>1/E6</f>
        <v>0.16666666666666666</v>
      </c>
      <c r="C9" s="12">
        <f>1/E7</f>
        <v>0.5</v>
      </c>
      <c r="D9" s="12">
        <f>1/E8</f>
        <v>0.25</v>
      </c>
      <c r="E9" s="12">
        <v>1</v>
      </c>
      <c r="F9" s="13">
        <f>1/6</f>
        <v>0.16666666666666666</v>
      </c>
      <c r="G9" s="14">
        <f>GEOMEAN(B9:F9)</f>
        <v>0.32219700748862712</v>
      </c>
      <c r="H9" s="14">
        <f>G9/SUM($G$6:$G$10)</f>
        <v>5.1551109775138618E-2</v>
      </c>
      <c r="I9" s="14">
        <f>B9*$H$6+C9*$H$7+D9*$H$8+E9*$H$9+F9*$H$10</f>
        <v>0.25930918716204748</v>
      </c>
      <c r="J9" s="14">
        <f>I9/H9</f>
        <v>5.030137824251141</v>
      </c>
    </row>
    <row r="10" spans="1:10" x14ac:dyDescent="0.25">
      <c r="A10" s="11" t="s">
        <v>13</v>
      </c>
      <c r="B10" s="12">
        <f>1/F6</f>
        <v>0.5</v>
      </c>
      <c r="C10" s="12">
        <f>1/F7</f>
        <v>3</v>
      </c>
      <c r="D10" s="12">
        <f>1/F8</f>
        <v>2</v>
      </c>
      <c r="E10" s="12">
        <f>1/F9</f>
        <v>6</v>
      </c>
      <c r="F10" s="12">
        <v>1</v>
      </c>
      <c r="G10" s="14">
        <f>GEOMEAN(B10:F10)</f>
        <v>1.7826024579660034</v>
      </c>
      <c r="H10" s="14">
        <f>G10/SUM($G$6:$G$10)</f>
        <v>0.2852141170159101</v>
      </c>
      <c r="I10" s="14">
        <f>B10*$H$6+C10*$H$7+D10*$H$8+E10*$H$9+F10*$H$10</f>
        <v>1.4595791161350227</v>
      </c>
      <c r="J10" s="14">
        <f>I10/H10</f>
        <v>5.1174855277363536</v>
      </c>
    </row>
    <row r="11" spans="1:10" x14ac:dyDescent="0.25">
      <c r="A11" s="15" t="s">
        <v>76</v>
      </c>
      <c r="B11" s="14">
        <f>AVERAGE(J6:J10)</f>
        <v>5.0715235179034241</v>
      </c>
    </row>
    <row r="12" spans="1:10" x14ac:dyDescent="0.25">
      <c r="A12" s="15" t="s">
        <v>77</v>
      </c>
      <c r="B12" s="16">
        <f>(B11-5)/(5-1)</f>
        <v>1.7880879475856037E-2</v>
      </c>
    </row>
    <row r="13" spans="1:10" ht="30" x14ac:dyDescent="0.25">
      <c r="A13" s="15" t="s">
        <v>78</v>
      </c>
      <c r="B13" s="17">
        <f>B12/'Концепции и критерии'!$C$38</f>
        <v>1.5965070960585748E-2</v>
      </c>
      <c r="C13" s="32" t="str">
        <f>IF(B13&lt;=0.1,"согласована (ОС ≤ 10%)","требует пересмотра")</f>
        <v>согласована (ОС ≤ 10%)</v>
      </c>
      <c r="D13" s="32"/>
    </row>
    <row r="15" spans="1:10" x14ac:dyDescent="0.25">
      <c r="A15" s="30" t="s">
        <v>79</v>
      </c>
      <c r="B15" s="31"/>
      <c r="C15" s="31"/>
      <c r="D15" s="31"/>
      <c r="E15" s="31"/>
      <c r="F15" s="31"/>
      <c r="G15" s="31"/>
      <c r="H15" s="31"/>
      <c r="I15" s="31"/>
      <c r="J15" s="31"/>
    </row>
    <row r="16" spans="1:10" ht="32.1" customHeight="1" x14ac:dyDescent="0.25">
      <c r="A16" s="10" t="s">
        <v>83</v>
      </c>
      <c r="B16" s="10" t="s">
        <v>9</v>
      </c>
      <c r="C16" s="10" t="s">
        <v>10</v>
      </c>
      <c r="D16" s="10" t="s">
        <v>11</v>
      </c>
      <c r="E16" s="10" t="s">
        <v>12</v>
      </c>
      <c r="F16" s="10" t="s">
        <v>13</v>
      </c>
      <c r="G16" s="10" t="s">
        <v>72</v>
      </c>
      <c r="H16" s="10" t="s">
        <v>73</v>
      </c>
      <c r="I16" s="10" t="s">
        <v>74</v>
      </c>
      <c r="J16" s="10" t="s">
        <v>75</v>
      </c>
    </row>
    <row r="17" spans="1:10" x14ac:dyDescent="0.25">
      <c r="A17" s="11" t="s">
        <v>9</v>
      </c>
      <c r="B17" s="12">
        <v>1</v>
      </c>
      <c r="C17" s="13">
        <v>3</v>
      </c>
      <c r="D17" s="13">
        <v>2</v>
      </c>
      <c r="E17" s="13">
        <v>4</v>
      </c>
      <c r="F17" s="13">
        <v>2</v>
      </c>
      <c r="G17" s="14">
        <f>GEOMEAN(B17:F17)</f>
        <v>2.1689435423953971</v>
      </c>
      <c r="H17" s="14">
        <f>G17/SUM($G$17:$G$21)</f>
        <v>0.36908734172353913</v>
      </c>
      <c r="I17" s="14">
        <f>B17*$H$17+C17*$H$18+D17*$H$19+E17*$H$20+F17*$H$21</f>
        <v>1.8851455037795144</v>
      </c>
      <c r="J17" s="14">
        <f>I17/H17</f>
        <v>5.1075864454640714</v>
      </c>
    </row>
    <row r="18" spans="1:10" x14ac:dyDescent="0.25">
      <c r="A18" s="11" t="s">
        <v>10</v>
      </c>
      <c r="B18" s="12">
        <f>1/C17</f>
        <v>0.33333333333333331</v>
      </c>
      <c r="C18" s="12">
        <v>1</v>
      </c>
      <c r="D18" s="13">
        <f>1/3</f>
        <v>0.33333333333333331</v>
      </c>
      <c r="E18" s="13">
        <v>1</v>
      </c>
      <c r="F18" s="13">
        <f>1/3</f>
        <v>0.33333333333333331</v>
      </c>
      <c r="G18" s="14">
        <f>GEOMEAN(B18:F18)</f>
        <v>0.5172818579717865</v>
      </c>
      <c r="H18" s="14">
        <f>G18/SUM($G$17:$G$21)</f>
        <v>8.8025429038952371E-2</v>
      </c>
      <c r="I18" s="14">
        <f>B18*$H$17+C18*$H$18+D18*$H$19+E18*$H$20+F18*$H$21</f>
        <v>0.44741942484733532</v>
      </c>
      <c r="J18" s="14">
        <f>I18/H18</f>
        <v>5.082842875430309</v>
      </c>
    </row>
    <row r="19" spans="1:10" x14ac:dyDescent="0.25">
      <c r="A19" s="11" t="s">
        <v>11</v>
      </c>
      <c r="B19" s="12">
        <f>1/D17</f>
        <v>0.5</v>
      </c>
      <c r="C19" s="12">
        <f>1/D18</f>
        <v>3</v>
      </c>
      <c r="D19" s="12">
        <v>1</v>
      </c>
      <c r="E19" s="13">
        <v>3</v>
      </c>
      <c r="F19" s="13">
        <v>1</v>
      </c>
      <c r="G19" s="14">
        <f>GEOMEAN(B19:F19)</f>
        <v>1.3509600385206135</v>
      </c>
      <c r="H19" s="14">
        <f>G19/SUM($G$17:$G$21)</f>
        <v>0.229891760502729</v>
      </c>
      <c r="I19" s="14">
        <f>B19*$H$17+C19*$H$18+D19*$H$19+E19*$H$20+F19*$H$21</f>
        <v>1.1577146036802364</v>
      </c>
      <c r="J19" s="14">
        <f>I19/H19</f>
        <v>5.0359116879549646</v>
      </c>
    </row>
    <row r="20" spans="1:10" x14ac:dyDescent="0.25">
      <c r="A20" s="11" t="s">
        <v>12</v>
      </c>
      <c r="B20" s="12">
        <f>1/E17</f>
        <v>0.25</v>
      </c>
      <c r="C20" s="12">
        <f>1/E18</f>
        <v>1</v>
      </c>
      <c r="D20" s="12">
        <f>1/E19</f>
        <v>0.33333333333333331</v>
      </c>
      <c r="E20" s="12">
        <v>1</v>
      </c>
      <c r="F20" s="13">
        <f>1/3</f>
        <v>0.33333333333333331</v>
      </c>
      <c r="G20" s="14">
        <f>GEOMEAN(B20:F20)</f>
        <v>0.48835934193058694</v>
      </c>
      <c r="H20" s="14">
        <f>G20/SUM($G$17:$G$21)</f>
        <v>8.3103708232050544E-2</v>
      </c>
      <c r="I20" s="14">
        <f>B20*$H$17+C20*$H$18+D20*$H$19+E20*$H$20+F20*$H$21</f>
        <v>0.41666214637037369</v>
      </c>
      <c r="J20" s="14">
        <f>I20/H20</f>
        <v>5.0137611814737273</v>
      </c>
    </row>
    <row r="21" spans="1:10" x14ac:dyDescent="0.25">
      <c r="A21" s="11" t="s">
        <v>13</v>
      </c>
      <c r="B21" s="12">
        <f>1/F17</f>
        <v>0.5</v>
      </c>
      <c r="C21" s="12">
        <f>1/F18</f>
        <v>3</v>
      </c>
      <c r="D21" s="12">
        <f>1/F19</f>
        <v>1</v>
      </c>
      <c r="E21" s="12">
        <f>1/F20</f>
        <v>3</v>
      </c>
      <c r="F21" s="12">
        <v>1</v>
      </c>
      <c r="G21" s="14">
        <f>GEOMEAN(B21:F21)</f>
        <v>1.3509600385206135</v>
      </c>
      <c r="H21" s="14">
        <f>G21/SUM($G$17:$G$21)</f>
        <v>0.229891760502729</v>
      </c>
      <c r="I21" s="14">
        <f>B21*$H$17+C21*$H$18+D21*$H$19+E21*$H$20+F21*$H$21</f>
        <v>1.1577146036802364</v>
      </c>
      <c r="J21" s="14">
        <f>I21/H21</f>
        <v>5.0359116879549646</v>
      </c>
    </row>
    <row r="22" spans="1:10" x14ac:dyDescent="0.25">
      <c r="A22" s="15" t="s">
        <v>76</v>
      </c>
      <c r="B22" s="14">
        <f>AVERAGE(J17:J21)</f>
        <v>5.0552027756556068</v>
      </c>
    </row>
    <row r="23" spans="1:10" x14ac:dyDescent="0.25">
      <c r="A23" s="15" t="s">
        <v>77</v>
      </c>
      <c r="B23" s="16">
        <f>(B22-5)/(5-1)</f>
        <v>1.3800693913901707E-2</v>
      </c>
    </row>
    <row r="24" spans="1:10" ht="30" x14ac:dyDescent="0.25">
      <c r="A24" s="15" t="s">
        <v>78</v>
      </c>
      <c r="B24" s="17">
        <f>B23/'Концепции и критерии'!$C$38</f>
        <v>1.2322048137412236E-2</v>
      </c>
      <c r="C24" s="32" t="str">
        <f>IF(B24&lt;=0.1,"согласована (ОС ≤ 10%)","требует пересмотра")</f>
        <v>согласована (ОС ≤ 10%)</v>
      </c>
      <c r="D24" s="32"/>
    </row>
    <row r="26" spans="1:10" x14ac:dyDescent="0.25">
      <c r="A26" s="30" t="s">
        <v>80</v>
      </c>
      <c r="B26" s="31"/>
      <c r="C26" s="31"/>
      <c r="D26" s="31"/>
      <c r="E26" s="31"/>
      <c r="F26" s="31"/>
      <c r="G26" s="31"/>
      <c r="H26" s="31"/>
      <c r="I26" s="31"/>
      <c r="J26" s="31"/>
    </row>
    <row r="27" spans="1:10" ht="32.1" customHeight="1" x14ac:dyDescent="0.25">
      <c r="A27" s="10" t="s">
        <v>83</v>
      </c>
      <c r="B27" s="10" t="s">
        <v>9</v>
      </c>
      <c r="C27" s="10" t="s">
        <v>10</v>
      </c>
      <c r="D27" s="10" t="s">
        <v>11</v>
      </c>
      <c r="E27" s="10" t="s">
        <v>12</v>
      </c>
      <c r="F27" s="10" t="s">
        <v>13</v>
      </c>
      <c r="G27" s="10" t="s">
        <v>72</v>
      </c>
      <c r="H27" s="10" t="s">
        <v>73</v>
      </c>
      <c r="I27" s="10" t="s">
        <v>74</v>
      </c>
      <c r="J27" s="10" t="s">
        <v>75</v>
      </c>
    </row>
    <row r="28" spans="1:10" x14ac:dyDescent="0.25">
      <c r="A28" s="11" t="s">
        <v>9</v>
      </c>
      <c r="B28" s="12">
        <v>1</v>
      </c>
      <c r="C28" s="13">
        <v>5</v>
      </c>
      <c r="D28" s="13">
        <v>2</v>
      </c>
      <c r="E28" s="13">
        <v>6</v>
      </c>
      <c r="F28" s="13">
        <v>1</v>
      </c>
      <c r="G28" s="14">
        <f>GEOMEAN(B28:F28)</f>
        <v>2.2679331552660544</v>
      </c>
      <c r="H28" s="14">
        <f>G28/SUM($G$28:$G$32)</f>
        <v>0.33387064551149731</v>
      </c>
      <c r="I28" s="14">
        <f>B28*$H$28+C28*$H$29+D28*$H$30+E28*$H$31+F28*$H$32</f>
        <v>1.6937211646932788</v>
      </c>
      <c r="J28" s="14">
        <f>I28/H28</f>
        <v>5.0729861623457797</v>
      </c>
    </row>
    <row r="29" spans="1:10" x14ac:dyDescent="0.25">
      <c r="A29" s="11" t="s">
        <v>10</v>
      </c>
      <c r="B29" s="12">
        <f>1/C28</f>
        <v>0.2</v>
      </c>
      <c r="C29" s="12">
        <v>1</v>
      </c>
      <c r="D29" s="13">
        <f>1/4</f>
        <v>0.25</v>
      </c>
      <c r="E29" s="13">
        <v>1</v>
      </c>
      <c r="F29" s="13">
        <f>1/8</f>
        <v>0.125</v>
      </c>
      <c r="G29" s="14">
        <f>GEOMEAN(B29:F29)</f>
        <v>0.36238983183884776</v>
      </c>
      <c r="H29" s="14">
        <f>G29/SUM($G$28:$G$32)</f>
        <v>5.3348718326156043E-2</v>
      </c>
      <c r="I29" s="14">
        <f>B29*$H$28+C29*$H$29+D29*$H$30+E29*$H$31+F29*$H$32</f>
        <v>0.26962082194938752</v>
      </c>
      <c r="J29" s="14">
        <f>I29/H29</f>
        <v>5.0539325106372175</v>
      </c>
    </row>
    <row r="30" spans="1:10" x14ac:dyDescent="0.25">
      <c r="A30" s="11" t="s">
        <v>11</v>
      </c>
      <c r="B30" s="12">
        <f>1/D28</f>
        <v>0.5</v>
      </c>
      <c r="C30" s="12">
        <f>1/D29</f>
        <v>4</v>
      </c>
      <c r="D30" s="12">
        <v>1</v>
      </c>
      <c r="E30" s="13">
        <v>4</v>
      </c>
      <c r="F30" s="13">
        <v>1</v>
      </c>
      <c r="G30" s="14">
        <f>GEOMEAN(B30:F30)</f>
        <v>1.515716566510398</v>
      </c>
      <c r="H30" s="14">
        <f>G30/SUM($G$28:$G$32)</f>
        <v>0.22313411984751866</v>
      </c>
      <c r="I30" s="14">
        <f>B30*$H$28+C30*$H$29+D30*$H$30+E30*$H$31+F30*$H$32</f>
        <v>1.1474261351474011</v>
      </c>
      <c r="J30" s="14">
        <f>I30/H30</f>
        <v>5.1423159126515854</v>
      </c>
    </row>
    <row r="31" spans="1:10" x14ac:dyDescent="0.25">
      <c r="A31" s="11" t="s">
        <v>12</v>
      </c>
      <c r="B31" s="12">
        <f>1/E28</f>
        <v>0.16666666666666666</v>
      </c>
      <c r="C31" s="12">
        <f>1/E29</f>
        <v>1</v>
      </c>
      <c r="D31" s="12">
        <f>1/E30</f>
        <v>0.25</v>
      </c>
      <c r="E31" s="12">
        <v>1</v>
      </c>
      <c r="F31" s="13">
        <f>1/8</f>
        <v>0.125</v>
      </c>
      <c r="G31" s="14">
        <f>GEOMEAN(B31:F31)</f>
        <v>0.34941355938578961</v>
      </c>
      <c r="H31" s="14">
        <f>G31/SUM($G$28:$G$32)</f>
        <v>5.143843430822724E-2</v>
      </c>
      <c r="I31" s="14">
        <f>B31*$H$28+C31*$H$29+D31*$H$30+E31*$H$31+F31*$H$32</f>
        <v>0.25849180043233755</v>
      </c>
      <c r="J31" s="14">
        <f>I31/H31</f>
        <v>5.0252657163593621</v>
      </c>
    </row>
    <row r="32" spans="1:10" x14ac:dyDescent="0.25">
      <c r="A32" s="11" t="s">
        <v>13</v>
      </c>
      <c r="B32" s="12">
        <f>1/F28</f>
        <v>1</v>
      </c>
      <c r="C32" s="12">
        <f>1/F29</f>
        <v>8</v>
      </c>
      <c r="D32" s="12">
        <f>1/F30</f>
        <v>1</v>
      </c>
      <c r="E32" s="12">
        <f>1/F31</f>
        <v>8</v>
      </c>
      <c r="F32" s="12">
        <v>1</v>
      </c>
      <c r="G32" s="14">
        <f>GEOMEAN(B32:F32)</f>
        <v>2.2973967099940702</v>
      </c>
      <c r="H32" s="14">
        <f>G32/SUM($G$28:$G$32)</f>
        <v>0.33820808200660069</v>
      </c>
      <c r="I32" s="14">
        <f>B32*$H$28+C32*$H$29+D32*$H$30+E32*$H$31+F32*$H$32</f>
        <v>1.733510068440683</v>
      </c>
      <c r="J32" s="14">
        <f>I32/H32</f>
        <v>5.1255725710506548</v>
      </c>
    </row>
    <row r="33" spans="1:10" x14ac:dyDescent="0.25">
      <c r="A33" s="15" t="s">
        <v>76</v>
      </c>
      <c r="B33" s="14">
        <f>AVERAGE(J28:J32)</f>
        <v>5.0840145746089194</v>
      </c>
    </row>
    <row r="34" spans="1:10" x14ac:dyDescent="0.25">
      <c r="A34" s="15" t="s">
        <v>77</v>
      </c>
      <c r="B34" s="16">
        <f>(B33-5)/(5-1)</f>
        <v>2.1003643652229842E-2</v>
      </c>
    </row>
    <row r="35" spans="1:10" ht="30" x14ac:dyDescent="0.25">
      <c r="A35" s="15" t="s">
        <v>78</v>
      </c>
      <c r="B35" s="17">
        <f>B34/'Концепции и критерии'!$C$38</f>
        <v>1.8753253260919499E-2</v>
      </c>
      <c r="C35" s="32" t="str">
        <f>IF(B35&lt;=0.1,"согласована (ОС ≤ 10%)","требует пересмотра")</f>
        <v>согласована (ОС ≤ 10%)</v>
      </c>
      <c r="D35" s="32"/>
    </row>
    <row r="37" spans="1:10" x14ac:dyDescent="0.25">
      <c r="A37" s="30" t="s">
        <v>81</v>
      </c>
      <c r="B37" s="31"/>
      <c r="C37" s="31"/>
      <c r="D37" s="31"/>
      <c r="E37" s="31"/>
      <c r="F37" s="31"/>
      <c r="G37" s="31"/>
      <c r="H37" s="31"/>
      <c r="I37" s="31"/>
      <c r="J37" s="31"/>
    </row>
    <row r="38" spans="1:10" ht="32.1" customHeight="1" x14ac:dyDescent="0.25">
      <c r="A38" s="10" t="s">
        <v>83</v>
      </c>
      <c r="B38" s="10" t="s">
        <v>9</v>
      </c>
      <c r="C38" s="10" t="s">
        <v>10</v>
      </c>
      <c r="D38" s="10" t="s">
        <v>11</v>
      </c>
      <c r="E38" s="10" t="s">
        <v>12</v>
      </c>
      <c r="F38" s="10" t="s">
        <v>13</v>
      </c>
      <c r="G38" s="10" t="s">
        <v>72</v>
      </c>
      <c r="H38" s="10" t="s">
        <v>73</v>
      </c>
      <c r="I38" s="10" t="s">
        <v>74</v>
      </c>
      <c r="J38" s="10" t="s">
        <v>75</v>
      </c>
    </row>
    <row r="39" spans="1:10" x14ac:dyDescent="0.25">
      <c r="A39" s="11" t="s">
        <v>9</v>
      </c>
      <c r="B39" s="14">
        <f t="shared" ref="B39:F43" si="0">GEOMEAN(B6,B17,B28)</f>
        <v>1</v>
      </c>
      <c r="C39" s="14">
        <f t="shared" si="0"/>
        <v>3.556893304490063</v>
      </c>
      <c r="D39" s="14">
        <f t="shared" si="0"/>
        <v>2</v>
      </c>
      <c r="E39" s="14">
        <f t="shared" si="0"/>
        <v>5.2414827884177928</v>
      </c>
      <c r="F39" s="14">
        <f t="shared" si="0"/>
        <v>1.5874010519681994</v>
      </c>
      <c r="G39" s="14">
        <f>GEOMEAN(B39:F39)</f>
        <v>2.2617694425826942</v>
      </c>
      <c r="H39" s="18">
        <f>G39/SUM($G$39:$G$43)</f>
        <v>0.36275845929951089</v>
      </c>
      <c r="I39" s="14">
        <f>B39*$H$39+C39*$H$40+D39*$H$41+E39*$H$42+F39*$H$43</f>
        <v>1.8413246257678328</v>
      </c>
      <c r="J39" s="14">
        <f>I39/H39</f>
        <v>5.0758971391692516</v>
      </c>
    </row>
    <row r="40" spans="1:10" x14ac:dyDescent="0.25">
      <c r="A40" s="11" t="s">
        <v>10</v>
      </c>
      <c r="B40" s="14">
        <f t="shared" si="0"/>
        <v>0.28114422176724974</v>
      </c>
      <c r="C40" s="14">
        <f t="shared" si="0"/>
        <v>1</v>
      </c>
      <c r="D40" s="14">
        <f t="shared" si="0"/>
        <v>0.34668063717531733</v>
      </c>
      <c r="E40" s="14">
        <f t="shared" si="0"/>
        <v>1.2599210498948732</v>
      </c>
      <c r="F40" s="14">
        <f t="shared" si="0"/>
        <v>0.24037492838456806</v>
      </c>
      <c r="G40" s="14">
        <f>GEOMEAN(B40:F40)</f>
        <v>0.49433145896034558</v>
      </c>
      <c r="H40" s="18">
        <f>G40/SUM($G$39:$G$43)</f>
        <v>7.9284349261950909E-2</v>
      </c>
      <c r="I40" s="14">
        <f>B40*$H$39+C40*$H$40+D40*$H$41+E40*$H$42+F40*$H$43</f>
        <v>0.40024464591364495</v>
      </c>
      <c r="J40" s="14">
        <f>I40/H40</f>
        <v>5.0482175818995465</v>
      </c>
    </row>
    <row r="41" spans="1:10" x14ac:dyDescent="0.25">
      <c r="A41" s="11" t="s">
        <v>11</v>
      </c>
      <c r="B41" s="14">
        <f t="shared" si="0"/>
        <v>0.5</v>
      </c>
      <c r="C41" s="14">
        <f t="shared" si="0"/>
        <v>2.8844991406148166</v>
      </c>
      <c r="D41" s="14">
        <f t="shared" si="0"/>
        <v>1</v>
      </c>
      <c r="E41" s="14">
        <f t="shared" si="0"/>
        <v>3.6342411856642793</v>
      </c>
      <c r="F41" s="14">
        <f t="shared" si="0"/>
        <v>0.79370052598409979</v>
      </c>
      <c r="G41" s="14">
        <f>GEOMEAN(B41:F41)</f>
        <v>1.3299097391115837</v>
      </c>
      <c r="H41" s="18">
        <f>G41/SUM($G$39:$G$43)</f>
        <v>0.21330025902933911</v>
      </c>
      <c r="I41" s="14">
        <f>B41*$H$39+C41*$H$40+D41*$H$41+E41*$H$42+F41*$H$43</f>
        <v>1.0701651148741658</v>
      </c>
      <c r="J41" s="14">
        <f>I41/H41</f>
        <v>5.0171768179942351</v>
      </c>
    </row>
    <row r="42" spans="1:10" x14ac:dyDescent="0.25">
      <c r="A42" s="11" t="s">
        <v>12</v>
      </c>
      <c r="B42" s="14">
        <f t="shared" si="0"/>
        <v>0.19078570709222198</v>
      </c>
      <c r="C42" s="14">
        <f t="shared" si="0"/>
        <v>0.79370052598409979</v>
      </c>
      <c r="D42" s="14">
        <f t="shared" si="0"/>
        <v>0.27516060407455223</v>
      </c>
      <c r="E42" s="14">
        <f t="shared" si="0"/>
        <v>1</v>
      </c>
      <c r="F42" s="14">
        <f t="shared" si="0"/>
        <v>0.19078570709222198</v>
      </c>
      <c r="G42" s="14">
        <f>GEOMEAN(B42:F42)</f>
        <v>0.38024798283033745</v>
      </c>
      <c r="H42" s="18">
        <f>G42/SUM($G$39:$G$43)</f>
        <v>6.0986840571057375E-2</v>
      </c>
      <c r="I42" s="14">
        <f>B42*$H$39+C42*$H$40+D42*$H$41+E42*$H$42+F42*$H$43</f>
        <v>0.30593602661974389</v>
      </c>
      <c r="J42" s="14">
        <f>I42/H42</f>
        <v>5.0164268841454369</v>
      </c>
    </row>
    <row r="43" spans="1:10" x14ac:dyDescent="0.25">
      <c r="A43" s="11" t="s">
        <v>13</v>
      </c>
      <c r="B43" s="14">
        <f t="shared" si="0"/>
        <v>0.6299605249474366</v>
      </c>
      <c r="C43" s="14">
        <f t="shared" si="0"/>
        <v>4.1601676461038082</v>
      </c>
      <c r="D43" s="14">
        <f t="shared" si="0"/>
        <v>1.2599210498948732</v>
      </c>
      <c r="E43" s="14">
        <f t="shared" si="0"/>
        <v>5.2414827884177928</v>
      </c>
      <c r="F43" s="14">
        <f t="shared" si="0"/>
        <v>1</v>
      </c>
      <c r="G43" s="14">
        <f>GEOMEAN(B43:F43)</f>
        <v>1.7686599141838406</v>
      </c>
      <c r="H43" s="18">
        <f>G43/SUM($G$39:$G$43)</f>
        <v>0.28367009183814157</v>
      </c>
      <c r="I43" s="14">
        <f>B43*$H$39+C43*$H$40+D43*$H$41+E43*$H$42+F43*$H$43</f>
        <v>1.4304327474018179</v>
      </c>
      <c r="J43" s="14">
        <f>I43/H43</f>
        <v>5.0425927461468305</v>
      </c>
    </row>
    <row r="44" spans="1:10" x14ac:dyDescent="0.25">
      <c r="A44" s="15" t="s">
        <v>76</v>
      </c>
      <c r="B44" s="14">
        <f>AVERAGE(J39:J43)</f>
        <v>5.0400622338710601</v>
      </c>
    </row>
    <row r="45" spans="1:10" x14ac:dyDescent="0.25">
      <c r="A45" s="15" t="s">
        <v>77</v>
      </c>
      <c r="B45" s="16">
        <f>(B44-5)/(5-1)</f>
        <v>1.0015558467765029E-2</v>
      </c>
    </row>
    <row r="46" spans="1:10" ht="30" x14ac:dyDescent="0.25">
      <c r="A46" s="15" t="s">
        <v>78</v>
      </c>
      <c r="B46" s="17">
        <f>B45/'Концепции и критерии'!$C$38</f>
        <v>8.942462917647347E-3</v>
      </c>
      <c r="C46" s="32" t="str">
        <f>IF(B46&lt;=0.1,"согласована (ОС ≤ 10%)","требует пересмотра")</f>
        <v>согласована (ОС ≤ 10%)</v>
      </c>
      <c r="D46" s="32"/>
    </row>
  </sheetData>
  <mergeCells count="10">
    <mergeCell ref="A1:J1"/>
    <mergeCell ref="A37:J37"/>
    <mergeCell ref="C46:D46"/>
    <mergeCell ref="C24:D24"/>
    <mergeCell ref="A15:J15"/>
    <mergeCell ref="A4:J4"/>
    <mergeCell ref="C13:D13"/>
    <mergeCell ref="A26:J26"/>
    <mergeCell ref="A2:J2"/>
    <mergeCell ref="C35:D3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46"/>
  <sheetViews>
    <sheetView workbookViewId="0">
      <selection sqref="A1:J1"/>
    </sheetView>
  </sheetViews>
  <sheetFormatPr defaultColWidth="8.85546875" defaultRowHeight="15" x14ac:dyDescent="0.25"/>
  <cols>
    <col min="1" max="1" width="30" customWidth="1"/>
    <col min="2" max="29" width="12.42578125" customWidth="1"/>
  </cols>
  <sheetData>
    <row r="1" spans="1:10" ht="21.95" customHeight="1" x14ac:dyDescent="0.25">
      <c r="A1" s="27" t="s">
        <v>84</v>
      </c>
      <c r="B1" s="28"/>
      <c r="C1" s="28"/>
      <c r="D1" s="28"/>
      <c r="E1" s="28"/>
      <c r="F1" s="28"/>
      <c r="G1" s="28"/>
      <c r="H1" s="28"/>
      <c r="I1" s="28"/>
      <c r="J1" s="28"/>
    </row>
    <row r="2" spans="1:10" ht="30" customHeight="1" x14ac:dyDescent="0.25">
      <c r="A2" s="29" t="s">
        <v>70</v>
      </c>
      <c r="B2" s="28"/>
      <c r="C2" s="28"/>
      <c r="D2" s="28"/>
      <c r="E2" s="28"/>
      <c r="F2" s="28"/>
      <c r="G2" s="28"/>
      <c r="H2" s="28"/>
      <c r="I2" s="28"/>
      <c r="J2" s="28"/>
    </row>
    <row r="4" spans="1:10" x14ac:dyDescent="0.25">
      <c r="A4" s="30" t="s">
        <v>71</v>
      </c>
      <c r="B4" s="31"/>
      <c r="C4" s="31"/>
      <c r="D4" s="31"/>
      <c r="E4" s="31"/>
      <c r="F4" s="31"/>
      <c r="G4" s="31"/>
      <c r="H4" s="31"/>
      <c r="I4" s="31"/>
      <c r="J4" s="31"/>
    </row>
    <row r="5" spans="1:10" ht="32.1" customHeight="1" x14ac:dyDescent="0.25">
      <c r="A5" s="10" t="s">
        <v>85</v>
      </c>
      <c r="B5" s="10" t="s">
        <v>9</v>
      </c>
      <c r="C5" s="10" t="s">
        <v>10</v>
      </c>
      <c r="D5" s="10" t="s">
        <v>11</v>
      </c>
      <c r="E5" s="10" t="s">
        <v>12</v>
      </c>
      <c r="F5" s="10" t="s">
        <v>13</v>
      </c>
      <c r="G5" s="10" t="s">
        <v>72</v>
      </c>
      <c r="H5" s="10" t="s">
        <v>73</v>
      </c>
      <c r="I5" s="10" t="s">
        <v>74</v>
      </c>
      <c r="J5" s="10" t="s">
        <v>75</v>
      </c>
    </row>
    <row r="6" spans="1:10" x14ac:dyDescent="0.25">
      <c r="A6" s="11" t="s">
        <v>9</v>
      </c>
      <c r="B6" s="12">
        <v>1</v>
      </c>
      <c r="C6" s="13">
        <v>1</v>
      </c>
      <c r="D6" s="13">
        <v>2</v>
      </c>
      <c r="E6" s="13">
        <v>3</v>
      </c>
      <c r="F6" s="13">
        <v>3</v>
      </c>
      <c r="G6" s="14">
        <f>GEOMEAN(B6:F6)</f>
        <v>1.7826024579660034</v>
      </c>
      <c r="H6" s="14">
        <f>G6/SUM($G$6:$G$10)</f>
        <v>0.31793021981676373</v>
      </c>
      <c r="I6" s="14">
        <f>B6*$H$6+C6*$H$7+D6*$H$8+E6*$H$9+F6*$H$10</f>
        <v>1.6186059070779555</v>
      </c>
      <c r="J6" s="14">
        <f>I6/H6</f>
        <v>5.0910728398540561</v>
      </c>
    </row>
    <row r="7" spans="1:10" x14ac:dyDescent="0.25">
      <c r="A7" s="11" t="s">
        <v>10</v>
      </c>
      <c r="B7" s="12">
        <f>1/C6</f>
        <v>1</v>
      </c>
      <c r="C7" s="12">
        <v>1</v>
      </c>
      <c r="D7" s="13">
        <v>1</v>
      </c>
      <c r="E7" s="13">
        <v>2</v>
      </c>
      <c r="F7" s="13">
        <v>4</v>
      </c>
      <c r="G7" s="14">
        <f>GEOMEAN(B7:F7)</f>
        <v>1.515716566510398</v>
      </c>
      <c r="H7" s="14">
        <f>G7/SUM($G$6:$G$10)</f>
        <v>0.27033066122909583</v>
      </c>
      <c r="I7" s="14">
        <f>B7*$H$6+C7*$H$7+D7*$H$8+E7*$H$9+F7*$H$10</f>
        <v>1.3713263229360093</v>
      </c>
      <c r="J7" s="14">
        <f>I7/H7</f>
        <v>5.0727739010480128</v>
      </c>
    </row>
    <row r="8" spans="1:10" x14ac:dyDescent="0.25">
      <c r="A8" s="11" t="s">
        <v>11</v>
      </c>
      <c r="B8" s="12">
        <f>1/D6</f>
        <v>0.5</v>
      </c>
      <c r="C8" s="12">
        <f>1/D7</f>
        <v>1</v>
      </c>
      <c r="D8" s="12">
        <v>1</v>
      </c>
      <c r="E8" s="13">
        <v>2</v>
      </c>
      <c r="F8" s="13">
        <v>2</v>
      </c>
      <c r="G8" s="14">
        <f>GEOMEAN(B8:F8)</f>
        <v>1.1486983549970351</v>
      </c>
      <c r="H8" s="14">
        <f>G8/SUM($G$6:$G$10)</f>
        <v>0.20487233083032541</v>
      </c>
      <c r="I8" s="14">
        <f>B8*$H$6+C8*$H$7+D8*$H$8+E8*$H$9+F8*$H$10</f>
        <v>1.0479016782154333</v>
      </c>
      <c r="J8" s="14">
        <f>I8/H8</f>
        <v>5.1149009432772159</v>
      </c>
    </row>
    <row r="9" spans="1:10" x14ac:dyDescent="0.25">
      <c r="A9" s="11" t="s">
        <v>12</v>
      </c>
      <c r="B9" s="12">
        <f>1/E6</f>
        <v>0.33333333333333331</v>
      </c>
      <c r="C9" s="12">
        <f>1/E7</f>
        <v>0.5</v>
      </c>
      <c r="D9" s="12">
        <f>1/E8</f>
        <v>0.5</v>
      </c>
      <c r="E9" s="12">
        <v>1</v>
      </c>
      <c r="F9" s="13">
        <v>2</v>
      </c>
      <c r="G9" s="14">
        <f>GEOMEAN(B9:F9)</f>
        <v>0.69882711877157921</v>
      </c>
      <c r="H9" s="14">
        <f>G9/SUM($G$6:$G$10)</f>
        <v>0.12463702071771803</v>
      </c>
      <c r="I9" s="14">
        <f>B9*$H$6+C9*$H$7+D9*$H$8+E9*$H$9+F9*$H$10</f>
        <v>0.632674791498544</v>
      </c>
      <c r="J9" s="14">
        <f>I9/H9</f>
        <v>5.0761385971464001</v>
      </c>
    </row>
    <row r="10" spans="1:10" x14ac:dyDescent="0.25">
      <c r="A10" s="11" t="s">
        <v>13</v>
      </c>
      <c r="B10" s="12">
        <f>1/F6</f>
        <v>0.33333333333333331</v>
      </c>
      <c r="C10" s="12">
        <f>1/F7</f>
        <v>0.25</v>
      </c>
      <c r="D10" s="12">
        <f>1/F8</f>
        <v>0.5</v>
      </c>
      <c r="E10" s="12">
        <f>1/F9</f>
        <v>0.5</v>
      </c>
      <c r="F10" s="12">
        <v>1</v>
      </c>
      <c r="G10" s="14">
        <f>GEOMEAN(B10:F10)</f>
        <v>0.46105395574086389</v>
      </c>
      <c r="H10" s="14">
        <f>G10/SUM($G$6:$G$10)</f>
        <v>8.2229767406097026E-2</v>
      </c>
      <c r="I10" s="14">
        <f>B10*$H$6+C10*$H$7+D10*$H$8+E10*$H$9+F10*$H$10</f>
        <v>0.42054384842631387</v>
      </c>
      <c r="J10" s="14">
        <f>I10/H10</f>
        <v>5.1142531675838372</v>
      </c>
    </row>
    <row r="11" spans="1:10" x14ac:dyDescent="0.25">
      <c r="A11" s="15" t="s">
        <v>76</v>
      </c>
      <c r="B11" s="14">
        <f>AVERAGE(J6:J10)</f>
        <v>5.0938278897819043</v>
      </c>
    </row>
    <row r="12" spans="1:10" x14ac:dyDescent="0.25">
      <c r="A12" s="15" t="s">
        <v>77</v>
      </c>
      <c r="B12" s="16">
        <f>(B11-5)/(5-1)</f>
        <v>2.3456972445476065E-2</v>
      </c>
    </row>
    <row r="13" spans="1:10" ht="30" x14ac:dyDescent="0.25">
      <c r="A13" s="15" t="s">
        <v>78</v>
      </c>
      <c r="B13" s="17">
        <f>B12/'Концепции и критерии'!$C$38</f>
        <v>2.0943725397746485E-2</v>
      </c>
      <c r="C13" s="32" t="str">
        <f>IF(B13&lt;=0.1,"согласована (ОС ≤ 10%)","требует пересмотра")</f>
        <v>согласована (ОС ≤ 10%)</v>
      </c>
      <c r="D13" s="32"/>
    </row>
    <row r="15" spans="1:10" x14ac:dyDescent="0.25">
      <c r="A15" s="30" t="s">
        <v>79</v>
      </c>
      <c r="B15" s="31"/>
      <c r="C15" s="31"/>
      <c r="D15" s="31"/>
      <c r="E15" s="31"/>
      <c r="F15" s="31"/>
      <c r="G15" s="31"/>
      <c r="H15" s="31"/>
      <c r="I15" s="31"/>
      <c r="J15" s="31"/>
    </row>
    <row r="16" spans="1:10" ht="32.1" customHeight="1" x14ac:dyDescent="0.25">
      <c r="A16" s="10" t="s">
        <v>85</v>
      </c>
      <c r="B16" s="10" t="s">
        <v>9</v>
      </c>
      <c r="C16" s="10" t="s">
        <v>10</v>
      </c>
      <c r="D16" s="10" t="s">
        <v>11</v>
      </c>
      <c r="E16" s="10" t="s">
        <v>12</v>
      </c>
      <c r="F16" s="10" t="s">
        <v>13</v>
      </c>
      <c r="G16" s="10" t="s">
        <v>72</v>
      </c>
      <c r="H16" s="10" t="s">
        <v>73</v>
      </c>
      <c r="I16" s="10" t="s">
        <v>74</v>
      </c>
      <c r="J16" s="10" t="s">
        <v>75</v>
      </c>
    </row>
    <row r="17" spans="1:10" x14ac:dyDescent="0.25">
      <c r="A17" s="11" t="s">
        <v>9</v>
      </c>
      <c r="B17" s="12">
        <v>1</v>
      </c>
      <c r="C17" s="13">
        <f>1/2</f>
        <v>0.5</v>
      </c>
      <c r="D17" s="13">
        <f>1/3</f>
        <v>0.33333333333333331</v>
      </c>
      <c r="E17" s="13">
        <f>1/2</f>
        <v>0.5</v>
      </c>
      <c r="F17" s="13">
        <v>2</v>
      </c>
      <c r="G17" s="14">
        <f>GEOMEAN(B17:F17)</f>
        <v>0.69882711877157921</v>
      </c>
      <c r="H17" s="14">
        <f>G17/SUM($G$17:$G$21)</f>
        <v>0.12500316331574543</v>
      </c>
      <c r="I17" s="14">
        <f>B17*$H$17+C17*$H$18+D17*$H$19+E17*$H$20+F17*$H$21</f>
        <v>0.63706394977196834</v>
      </c>
      <c r="J17" s="14">
        <f>I17/H17</f>
        <v>5.0963826264364913</v>
      </c>
    </row>
    <row r="18" spans="1:10" x14ac:dyDescent="0.25">
      <c r="A18" s="11" t="s">
        <v>10</v>
      </c>
      <c r="B18" s="12">
        <f>1/C17</f>
        <v>2</v>
      </c>
      <c r="C18" s="12">
        <v>1</v>
      </c>
      <c r="D18" s="13">
        <v>1</v>
      </c>
      <c r="E18" s="13">
        <v>2</v>
      </c>
      <c r="F18" s="13">
        <v>3</v>
      </c>
      <c r="G18" s="14">
        <f>GEOMEAN(B18:F18)</f>
        <v>1.6437518295172258</v>
      </c>
      <c r="H18" s="14">
        <f>G18/SUM($G$17:$G$21)</f>
        <v>0.29402719624974805</v>
      </c>
      <c r="I18" s="14">
        <f>B18*$H$17+C18*$H$18+D18*$H$19+E18*$H$20+F18*$H$21</f>
        <v>1.5089366900837005</v>
      </c>
      <c r="J18" s="14">
        <f>I18/H18</f>
        <v>5.1319629929811077</v>
      </c>
    </row>
    <row r="19" spans="1:10" x14ac:dyDescent="0.25">
      <c r="A19" s="11" t="s">
        <v>11</v>
      </c>
      <c r="B19" s="12">
        <f>1/D17</f>
        <v>3</v>
      </c>
      <c r="C19" s="12">
        <f>1/D18</f>
        <v>1</v>
      </c>
      <c r="D19" s="12">
        <v>1</v>
      </c>
      <c r="E19" s="13">
        <v>1</v>
      </c>
      <c r="F19" s="13">
        <v>3</v>
      </c>
      <c r="G19" s="14">
        <f>GEOMEAN(B19:F19)</f>
        <v>1.5518455739153598</v>
      </c>
      <c r="H19" s="14">
        <f>G19/SUM($G$17:$G$21)</f>
        <v>0.2775874039604424</v>
      </c>
      <c r="I19" s="14">
        <f>B19*$H$17+C19*$H$18+D19*$H$19+E19*$H$20+F19*$H$21</f>
        <v>1.4111089072192722</v>
      </c>
      <c r="J19" s="14">
        <f>I19/H19</f>
        <v>5.0834760046257799</v>
      </c>
    </row>
    <row r="20" spans="1:10" x14ac:dyDescent="0.25">
      <c r="A20" s="11" t="s">
        <v>12</v>
      </c>
      <c r="B20" s="12">
        <f>1/E17</f>
        <v>2</v>
      </c>
      <c r="C20" s="12">
        <f>1/E18</f>
        <v>0.5</v>
      </c>
      <c r="D20" s="12">
        <f>1/E19</f>
        <v>1</v>
      </c>
      <c r="E20" s="12">
        <v>1</v>
      </c>
      <c r="F20" s="13">
        <v>3</v>
      </c>
      <c r="G20" s="14">
        <f>GEOMEAN(B20:F20)</f>
        <v>1.2457309396155174</v>
      </c>
      <c r="H20" s="14">
        <f>G20/SUM($G$17:$G$21)</f>
        <v>0.22283094618017357</v>
      </c>
      <c r="I20" s="14">
        <f>B20*$H$17+C20*$H$18+D20*$H$19+E20*$H$20+F20*$H$21</f>
        <v>1.1390921457786527</v>
      </c>
      <c r="J20" s="14">
        <f>I20/H20</f>
        <v>5.1119118116458626</v>
      </c>
    </row>
    <row r="21" spans="1:10" x14ac:dyDescent="0.25">
      <c r="A21" s="11" t="s">
        <v>13</v>
      </c>
      <c r="B21" s="12">
        <f>1/F17</f>
        <v>0.5</v>
      </c>
      <c r="C21" s="12">
        <f>1/F18</f>
        <v>0.33333333333333331</v>
      </c>
      <c r="D21" s="12">
        <f>1/F19</f>
        <v>0.33333333333333331</v>
      </c>
      <c r="E21" s="12">
        <f>1/F20</f>
        <v>0.33333333333333331</v>
      </c>
      <c r="F21" s="12">
        <v>1</v>
      </c>
      <c r="G21" s="14">
        <f>GEOMEAN(B21:F21)</f>
        <v>0.45032001284020445</v>
      </c>
      <c r="H21" s="14">
        <f>G21/SUM($G$17:$G$21)</f>
        <v>8.0551290293890618E-2</v>
      </c>
      <c r="I21" s="14">
        <f>B21*$H$17+C21*$H$18+D21*$H$19+E21*$H$20+F21*$H$21</f>
        <v>0.40786805408188465</v>
      </c>
      <c r="J21" s="14">
        <f>I21/H21</f>
        <v>5.063457737222854</v>
      </c>
    </row>
    <row r="22" spans="1:10" x14ac:dyDescent="0.25">
      <c r="A22" s="15" t="s">
        <v>76</v>
      </c>
      <c r="B22" s="14">
        <f>AVERAGE(J17:J21)</f>
        <v>5.0974382345824196</v>
      </c>
    </row>
    <row r="23" spans="1:10" x14ac:dyDescent="0.25">
      <c r="A23" s="15" t="s">
        <v>77</v>
      </c>
      <c r="B23" s="16">
        <f>(B22-5)/(5-1)</f>
        <v>2.4359558645604906E-2</v>
      </c>
    </row>
    <row r="24" spans="1:10" ht="30" x14ac:dyDescent="0.25">
      <c r="A24" s="15" t="s">
        <v>78</v>
      </c>
      <c r="B24" s="17">
        <f>B23/'Концепции и критерии'!$C$38</f>
        <v>2.1749605933575809E-2</v>
      </c>
      <c r="C24" s="32" t="str">
        <f>IF(B24&lt;=0.1,"согласована (ОС ≤ 10%)","требует пересмотра")</f>
        <v>согласована (ОС ≤ 10%)</v>
      </c>
      <c r="D24" s="32"/>
    </row>
    <row r="26" spans="1:10" x14ac:dyDescent="0.25">
      <c r="A26" s="30" t="s">
        <v>80</v>
      </c>
      <c r="B26" s="31"/>
      <c r="C26" s="31"/>
      <c r="D26" s="31"/>
      <c r="E26" s="31"/>
      <c r="F26" s="31"/>
      <c r="G26" s="31"/>
      <c r="H26" s="31"/>
      <c r="I26" s="31"/>
      <c r="J26" s="31"/>
    </row>
    <row r="27" spans="1:10" ht="32.1" customHeight="1" x14ac:dyDescent="0.25">
      <c r="A27" s="10" t="s">
        <v>85</v>
      </c>
      <c r="B27" s="10" t="s">
        <v>9</v>
      </c>
      <c r="C27" s="10" t="s">
        <v>10</v>
      </c>
      <c r="D27" s="10" t="s">
        <v>11</v>
      </c>
      <c r="E27" s="10" t="s">
        <v>12</v>
      </c>
      <c r="F27" s="10" t="s">
        <v>13</v>
      </c>
      <c r="G27" s="10" t="s">
        <v>72</v>
      </c>
      <c r="H27" s="10" t="s">
        <v>73</v>
      </c>
      <c r="I27" s="10" t="s">
        <v>74</v>
      </c>
      <c r="J27" s="10" t="s">
        <v>75</v>
      </c>
    </row>
    <row r="28" spans="1:10" x14ac:dyDescent="0.25">
      <c r="A28" s="11" t="s">
        <v>9</v>
      </c>
      <c r="B28" s="12">
        <v>1</v>
      </c>
      <c r="C28" s="13">
        <v>1</v>
      </c>
      <c r="D28" s="13">
        <v>1</v>
      </c>
      <c r="E28" s="13">
        <v>2</v>
      </c>
      <c r="F28" s="13">
        <v>3</v>
      </c>
      <c r="G28" s="14">
        <f>GEOMEAN(B28:F28)</f>
        <v>1.4309690811052556</v>
      </c>
      <c r="H28" s="14">
        <f>G28/SUM($G$28:$G$32)</f>
        <v>0.26391192367881944</v>
      </c>
      <c r="I28" s="14">
        <f>B28*$H$28+C28*$H$29+D28*$H$30+E28*$H$31+F28*$H$32</f>
        <v>1.3531736199559137</v>
      </c>
      <c r="J28" s="14">
        <f>I28/H28</f>
        <v>5.1273682563987704</v>
      </c>
    </row>
    <row r="29" spans="1:10" x14ac:dyDescent="0.25">
      <c r="A29" s="11" t="s">
        <v>10</v>
      </c>
      <c r="B29" s="12">
        <f>1/C28</f>
        <v>1</v>
      </c>
      <c r="C29" s="12">
        <v>1</v>
      </c>
      <c r="D29" s="13">
        <v>1</v>
      </c>
      <c r="E29" s="13">
        <v>1</v>
      </c>
      <c r="F29" s="13">
        <v>3</v>
      </c>
      <c r="G29" s="14">
        <f>GEOMEAN(B29:F29)</f>
        <v>1.2457309396155174</v>
      </c>
      <c r="H29" s="14">
        <f>G29/SUM($G$28:$G$32)</f>
        <v>0.22974867381916</v>
      </c>
      <c r="I29" s="14">
        <f>B29*$H$28+C29*$H$29+D29*$H$30+E29*$H$31+F29*$H$32</f>
        <v>1.1531657825461066</v>
      </c>
      <c r="J29" s="14">
        <f>I29/H29</f>
        <v>5.019248918293159</v>
      </c>
    </row>
    <row r="30" spans="1:10" x14ac:dyDescent="0.25">
      <c r="A30" s="11" t="s">
        <v>11</v>
      </c>
      <c r="B30" s="12">
        <f>1/D28</f>
        <v>1</v>
      </c>
      <c r="C30" s="12">
        <f>1/D29</f>
        <v>1</v>
      </c>
      <c r="D30" s="12">
        <v>1</v>
      </c>
      <c r="E30" s="13">
        <v>1</v>
      </c>
      <c r="F30" s="13">
        <v>3</v>
      </c>
      <c r="G30" s="14">
        <f>GEOMEAN(B30:F30)</f>
        <v>1.2457309396155174</v>
      </c>
      <c r="H30" s="14">
        <f>G30/SUM($G$28:$G$32)</f>
        <v>0.22974867381916</v>
      </c>
      <c r="I30" s="14">
        <f>B30*$H$28+C30*$H$29+D30*$H$30+E30*$H$31+F30*$H$32</f>
        <v>1.1531657825461066</v>
      </c>
      <c r="J30" s="14">
        <f>I30/H30</f>
        <v>5.019248918293159</v>
      </c>
    </row>
    <row r="31" spans="1:10" x14ac:dyDescent="0.25">
      <c r="A31" s="11" t="s">
        <v>12</v>
      </c>
      <c r="B31" s="12">
        <f>1/E28</f>
        <v>0.5</v>
      </c>
      <c r="C31" s="12">
        <f>1/E29</f>
        <v>1</v>
      </c>
      <c r="D31" s="12">
        <f>1/E30</f>
        <v>1</v>
      </c>
      <c r="E31" s="12">
        <v>1</v>
      </c>
      <c r="F31" s="13">
        <v>3</v>
      </c>
      <c r="G31" s="14">
        <f>GEOMEAN(B31:F31)</f>
        <v>1.0844717711976986</v>
      </c>
      <c r="H31" s="14">
        <f>G31/SUM($G$28:$G$32)</f>
        <v>0.20000783740980721</v>
      </c>
      <c r="I31" s="14">
        <f>B31*$H$28+C31*$H$29+D31*$H$30+E31*$H$31+F31*$H$32</f>
        <v>1.0212098207066969</v>
      </c>
      <c r="J31" s="14">
        <f>I31/H31</f>
        <v>5.1058490203775522</v>
      </c>
    </row>
    <row r="32" spans="1:10" x14ac:dyDescent="0.25">
      <c r="A32" s="11" t="s">
        <v>13</v>
      </c>
      <c r="B32" s="12">
        <f>1/F28</f>
        <v>0.33333333333333331</v>
      </c>
      <c r="C32" s="12">
        <f>1/F29</f>
        <v>0.33333333333333331</v>
      </c>
      <c r="D32" s="12">
        <f>1/F30</f>
        <v>0.33333333333333331</v>
      </c>
      <c r="E32" s="12">
        <f>1/F31</f>
        <v>0.33333333333333331</v>
      </c>
      <c r="F32" s="12">
        <v>1</v>
      </c>
      <c r="G32" s="14">
        <f>GEOMEAN(B32:F32)</f>
        <v>0.41524364653850576</v>
      </c>
      <c r="H32" s="14">
        <f>G32/SUM($G$28:$G$32)</f>
        <v>7.658289127305333E-2</v>
      </c>
      <c r="I32" s="14">
        <f>B32*$H$28+C32*$H$29+D32*$H$30+E32*$H$31+F32*$H$32</f>
        <v>0.38438859418203558</v>
      </c>
      <c r="J32" s="14">
        <f>I32/H32</f>
        <v>5.0192489182931599</v>
      </c>
    </row>
    <row r="33" spans="1:10" x14ac:dyDescent="0.25">
      <c r="A33" s="15" t="s">
        <v>76</v>
      </c>
      <c r="B33" s="14">
        <f>AVERAGE(J28:J32)</f>
        <v>5.0581928063311592</v>
      </c>
    </row>
    <row r="34" spans="1:10" x14ac:dyDescent="0.25">
      <c r="A34" s="15" t="s">
        <v>77</v>
      </c>
      <c r="B34" s="16">
        <f>(B33-5)/(5-1)</f>
        <v>1.4548201582789799E-2</v>
      </c>
    </row>
    <row r="35" spans="1:10" ht="30" x14ac:dyDescent="0.25">
      <c r="A35" s="15" t="s">
        <v>78</v>
      </c>
      <c r="B35" s="17">
        <f>B34/'Концепции и критерии'!$C$38</f>
        <v>1.2989465698919463E-2</v>
      </c>
      <c r="C35" s="32" t="str">
        <f>IF(B35&lt;=0.1,"согласована (ОС ≤ 10%)","требует пересмотра")</f>
        <v>согласована (ОС ≤ 10%)</v>
      </c>
      <c r="D35" s="32"/>
    </row>
    <row r="37" spans="1:10" x14ac:dyDescent="0.25">
      <c r="A37" s="30" t="s">
        <v>81</v>
      </c>
      <c r="B37" s="31"/>
      <c r="C37" s="31"/>
      <c r="D37" s="31"/>
      <c r="E37" s="31"/>
      <c r="F37" s="31"/>
      <c r="G37" s="31"/>
      <c r="H37" s="31"/>
      <c r="I37" s="31"/>
      <c r="J37" s="31"/>
    </row>
    <row r="38" spans="1:10" ht="32.1" customHeight="1" x14ac:dyDescent="0.25">
      <c r="A38" s="10" t="s">
        <v>85</v>
      </c>
      <c r="B38" s="10" t="s">
        <v>9</v>
      </c>
      <c r="C38" s="10" t="s">
        <v>10</v>
      </c>
      <c r="D38" s="10" t="s">
        <v>11</v>
      </c>
      <c r="E38" s="10" t="s">
        <v>12</v>
      </c>
      <c r="F38" s="10" t="s">
        <v>13</v>
      </c>
      <c r="G38" s="10" t="s">
        <v>72</v>
      </c>
      <c r="H38" s="10" t="s">
        <v>73</v>
      </c>
      <c r="I38" s="10" t="s">
        <v>74</v>
      </c>
      <c r="J38" s="10" t="s">
        <v>75</v>
      </c>
    </row>
    <row r="39" spans="1:10" x14ac:dyDescent="0.25">
      <c r="A39" s="11" t="s">
        <v>9</v>
      </c>
      <c r="B39" s="14">
        <f t="shared" ref="B39:F43" si="0">GEOMEAN(B6,B17,B28)</f>
        <v>1</v>
      </c>
      <c r="C39" s="14">
        <f t="shared" si="0"/>
        <v>0.79370052598409979</v>
      </c>
      <c r="D39" s="14">
        <f t="shared" si="0"/>
        <v>0.87358046473629891</v>
      </c>
      <c r="E39" s="14">
        <f t="shared" si="0"/>
        <v>1.4422495703074083</v>
      </c>
      <c r="F39" s="14">
        <f t="shared" si="0"/>
        <v>2.6207413942088964</v>
      </c>
      <c r="G39" s="14">
        <f>GEOMEAN(B39:F39)</f>
        <v>1.2125086169006218</v>
      </c>
      <c r="H39" s="18">
        <f>G39/SUM($G$39:$G$43)</f>
        <v>0.22459672946201722</v>
      </c>
      <c r="I39" s="14">
        <f>B39*$H$39+C39*$H$40+D39*$H$41+E39*$H$42+F39*$H$43</f>
        <v>1.1266955795483586</v>
      </c>
      <c r="J39" s="14">
        <f>I39/H39</f>
        <v>5.0165270983560797</v>
      </c>
    </row>
    <row r="40" spans="1:10" x14ac:dyDescent="0.25">
      <c r="A40" s="11" t="s">
        <v>10</v>
      </c>
      <c r="B40" s="14">
        <f t="shared" si="0"/>
        <v>1.2599210498948732</v>
      </c>
      <c r="C40" s="14">
        <f t="shared" si="0"/>
        <v>1</v>
      </c>
      <c r="D40" s="14">
        <f t="shared" si="0"/>
        <v>1</v>
      </c>
      <c r="E40" s="14">
        <f t="shared" si="0"/>
        <v>1.5874010519681994</v>
      </c>
      <c r="F40" s="14">
        <f t="shared" si="0"/>
        <v>3.3019272488946267</v>
      </c>
      <c r="G40" s="14">
        <f>GEOMEAN(B40:F40)</f>
        <v>1.4586782225967481</v>
      </c>
      <c r="H40" s="18">
        <f>G40/SUM($G$39:$G$43)</f>
        <v>0.27019548856496867</v>
      </c>
      <c r="I40" s="14">
        <f>B40*$H$39+C40*$H$40+D40*$H$41+E40*$H$42+F40*$H$43</f>
        <v>1.3534825051024482</v>
      </c>
      <c r="J40" s="14">
        <f>I40/H40</f>
        <v>5.0092712957233649</v>
      </c>
    </row>
    <row r="41" spans="1:10" x14ac:dyDescent="0.25">
      <c r="A41" s="11" t="s">
        <v>11</v>
      </c>
      <c r="B41" s="14">
        <f t="shared" si="0"/>
        <v>1.1447142425533319</v>
      </c>
      <c r="C41" s="14">
        <f t="shared" si="0"/>
        <v>1</v>
      </c>
      <c r="D41" s="14">
        <f t="shared" si="0"/>
        <v>1</v>
      </c>
      <c r="E41" s="14">
        <f t="shared" si="0"/>
        <v>1.2599210498948732</v>
      </c>
      <c r="F41" s="14">
        <f t="shared" si="0"/>
        <v>2.6207413942088964</v>
      </c>
      <c r="G41" s="14">
        <f>GEOMEAN(B41:F41)</f>
        <v>1.3046466916751482</v>
      </c>
      <c r="H41" s="18">
        <f>G41/SUM($G$39:$G$43)</f>
        <v>0.24166375064837595</v>
      </c>
      <c r="I41" s="14">
        <f>B41*$H$39+C41*$H$40+D41*$H$41+E41*$H$42+F41*$H$43</f>
        <v>1.2123584136140333</v>
      </c>
      <c r="J41" s="14">
        <f>I41/H41</f>
        <v>5.016716037723139</v>
      </c>
    </row>
    <row r="42" spans="1:10" x14ac:dyDescent="0.25">
      <c r="A42" s="11" t="s">
        <v>12</v>
      </c>
      <c r="B42" s="14">
        <f t="shared" si="0"/>
        <v>0.69336127435063466</v>
      </c>
      <c r="C42" s="14">
        <f t="shared" si="0"/>
        <v>0.6299605249474366</v>
      </c>
      <c r="D42" s="14">
        <f t="shared" si="0"/>
        <v>0.79370052598409979</v>
      </c>
      <c r="E42" s="14">
        <f t="shared" si="0"/>
        <v>1</v>
      </c>
      <c r="F42" s="14">
        <f t="shared" si="0"/>
        <v>2.6207413942088964</v>
      </c>
      <c r="G42" s="14">
        <f>GEOMEAN(B42:F42)</f>
        <v>0.98100393831741417</v>
      </c>
      <c r="H42" s="18">
        <f>G42/SUM($G$39:$G$43)</f>
        <v>0.18171440026434726</v>
      </c>
      <c r="I42" s="14">
        <f>B42*$H$39+C42*$H$40+D42*$H$41+E42*$H$42+F42*$H$43</f>
        <v>0.91391651402738572</v>
      </c>
      <c r="J42" s="14">
        <f>I42/H42</f>
        <v>5.0294116079841471</v>
      </c>
    </row>
    <row r="43" spans="1:10" x14ac:dyDescent="0.25">
      <c r="A43" s="11" t="s">
        <v>13</v>
      </c>
      <c r="B43" s="14">
        <f t="shared" si="0"/>
        <v>0.38157141418444396</v>
      </c>
      <c r="C43" s="14">
        <f t="shared" si="0"/>
        <v>0.30285343213868993</v>
      </c>
      <c r="D43" s="14">
        <f t="shared" si="0"/>
        <v>0.38157141418444396</v>
      </c>
      <c r="E43" s="14">
        <f t="shared" si="0"/>
        <v>0.38157141418444396</v>
      </c>
      <c r="F43" s="14">
        <f t="shared" si="0"/>
        <v>1</v>
      </c>
      <c r="G43" s="14">
        <f>GEOMEAN(B43:F43)</f>
        <v>0.44176570609938909</v>
      </c>
      <c r="H43" s="18">
        <f>G43/SUM($G$39:$G$43)</f>
        <v>8.1829631060290911E-2</v>
      </c>
      <c r="I43" s="14">
        <f>B43*$H$39+C43*$H$40+D43*$H$41+E43*$H$42+F43*$H$43</f>
        <v>0.41090795358116738</v>
      </c>
      <c r="J43" s="14">
        <f>I43/H43</f>
        <v>5.021505636245827</v>
      </c>
    </row>
    <row r="44" spans="1:10" x14ac:dyDescent="0.25">
      <c r="A44" s="15" t="s">
        <v>76</v>
      </c>
      <c r="B44" s="14">
        <f>AVERAGE(J39:J43)</f>
        <v>5.0186863352065121</v>
      </c>
    </row>
    <row r="45" spans="1:10" x14ac:dyDescent="0.25">
      <c r="A45" s="15" t="s">
        <v>77</v>
      </c>
      <c r="B45" s="16">
        <f>(B44-5)/(5-1)</f>
        <v>4.6715838016280209E-3</v>
      </c>
    </row>
    <row r="46" spans="1:10" ht="30" x14ac:dyDescent="0.25">
      <c r="A46" s="15" t="s">
        <v>78</v>
      </c>
      <c r="B46" s="17">
        <f>B45/'Концепции и критерии'!$C$38</f>
        <v>4.1710569657393039E-3</v>
      </c>
      <c r="C46" s="32" t="str">
        <f>IF(B46&lt;=0.1,"согласована (ОС ≤ 10%)","требует пересмотра")</f>
        <v>согласована (ОС ≤ 10%)</v>
      </c>
      <c r="D46" s="32"/>
    </row>
  </sheetData>
  <mergeCells count="10">
    <mergeCell ref="A1:J1"/>
    <mergeCell ref="A37:J37"/>
    <mergeCell ref="C46:D46"/>
    <mergeCell ref="C24:D24"/>
    <mergeCell ref="A15:J15"/>
    <mergeCell ref="A4:J4"/>
    <mergeCell ref="C13:D13"/>
    <mergeCell ref="A26:J26"/>
    <mergeCell ref="A2:J2"/>
    <mergeCell ref="C35:D3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46"/>
  <sheetViews>
    <sheetView topLeftCell="A19" workbookViewId="0">
      <selection sqref="A1:J1"/>
    </sheetView>
  </sheetViews>
  <sheetFormatPr defaultColWidth="8.85546875" defaultRowHeight="15" x14ac:dyDescent="0.25"/>
  <cols>
    <col min="1" max="1" width="30" customWidth="1"/>
    <col min="2" max="29" width="12.42578125" customWidth="1"/>
  </cols>
  <sheetData>
    <row r="1" spans="1:10" ht="21.95" customHeight="1" x14ac:dyDescent="0.25">
      <c r="A1" s="27" t="s">
        <v>86</v>
      </c>
      <c r="B1" s="28"/>
      <c r="C1" s="28"/>
      <c r="D1" s="28"/>
      <c r="E1" s="28"/>
      <c r="F1" s="28"/>
      <c r="G1" s="28"/>
      <c r="H1" s="28"/>
      <c r="I1" s="28"/>
      <c r="J1" s="28"/>
    </row>
    <row r="2" spans="1:10" ht="30" customHeight="1" x14ac:dyDescent="0.25">
      <c r="A2" s="29" t="s">
        <v>70</v>
      </c>
      <c r="B2" s="28"/>
      <c r="C2" s="28"/>
      <c r="D2" s="28"/>
      <c r="E2" s="28"/>
      <c r="F2" s="28"/>
      <c r="G2" s="28"/>
      <c r="H2" s="28"/>
      <c r="I2" s="28"/>
      <c r="J2" s="28"/>
    </row>
    <row r="4" spans="1:10" x14ac:dyDescent="0.25">
      <c r="A4" s="30" t="s">
        <v>71</v>
      </c>
      <c r="B4" s="31"/>
      <c r="C4" s="31"/>
      <c r="D4" s="31"/>
      <c r="E4" s="31"/>
      <c r="F4" s="31"/>
      <c r="G4" s="31"/>
      <c r="H4" s="31"/>
      <c r="I4" s="31"/>
      <c r="J4" s="31"/>
    </row>
    <row r="5" spans="1:10" ht="32.1" customHeight="1" x14ac:dyDescent="0.25">
      <c r="A5" s="10" t="s">
        <v>87</v>
      </c>
      <c r="B5" s="10" t="s">
        <v>9</v>
      </c>
      <c r="C5" s="10" t="s">
        <v>10</v>
      </c>
      <c r="D5" s="10" t="s">
        <v>11</v>
      </c>
      <c r="E5" s="10" t="s">
        <v>12</v>
      </c>
      <c r="F5" s="10" t="s">
        <v>13</v>
      </c>
      <c r="G5" s="10" t="s">
        <v>72</v>
      </c>
      <c r="H5" s="10" t="s">
        <v>73</v>
      </c>
      <c r="I5" s="10" t="s">
        <v>74</v>
      </c>
      <c r="J5" s="10" t="s">
        <v>75</v>
      </c>
    </row>
    <row r="6" spans="1:10" x14ac:dyDescent="0.25">
      <c r="A6" s="11" t="s">
        <v>9</v>
      </c>
      <c r="B6" s="12">
        <v>1</v>
      </c>
      <c r="C6" s="13">
        <f>1/2</f>
        <v>0.5</v>
      </c>
      <c r="D6" s="13">
        <v>1</v>
      </c>
      <c r="E6" s="13">
        <f>1/2</f>
        <v>0.5</v>
      </c>
      <c r="F6" s="13">
        <v>1</v>
      </c>
      <c r="G6" s="14">
        <f>GEOMEAN(B6:F6)</f>
        <v>0.75785828325519911</v>
      </c>
      <c r="H6" s="14">
        <f>G6/SUM($G$6:$G$10)</f>
        <v>0.13626027100115895</v>
      </c>
      <c r="I6" s="14">
        <f>B6*$H$6+C6*$H$7+D6*$H$8+E6*$H$9+F6*$H$10</f>
        <v>0.68856404168307117</v>
      </c>
      <c r="J6" s="14">
        <f>I6/H6</f>
        <v>5.0533001044538848</v>
      </c>
    </row>
    <row r="7" spans="1:10" x14ac:dyDescent="0.25">
      <c r="A7" s="11" t="s">
        <v>10</v>
      </c>
      <c r="B7" s="12">
        <f>1/C6</f>
        <v>2</v>
      </c>
      <c r="C7" s="12">
        <v>1</v>
      </c>
      <c r="D7" s="13">
        <v>5</v>
      </c>
      <c r="E7" s="13">
        <v>1</v>
      </c>
      <c r="F7" s="13">
        <v>2</v>
      </c>
      <c r="G7" s="14">
        <f>GEOMEAN(B7:F7)</f>
        <v>1.8205642030260802</v>
      </c>
      <c r="H7" s="14">
        <f>G7/SUM($G$6:$G$10)</f>
        <v>0.32733108176084691</v>
      </c>
      <c r="I7" s="14">
        <f>B7*$H$6+C7*$H$7+D7*$H$8+E7*$H$9+F7*$H$10</f>
        <v>1.690950707457616</v>
      </c>
      <c r="J7" s="14">
        <f>I7/H7</f>
        <v>5.1658727254414858</v>
      </c>
    </row>
    <row r="8" spans="1:10" x14ac:dyDescent="0.25">
      <c r="A8" s="11" t="s">
        <v>11</v>
      </c>
      <c r="B8" s="12">
        <f>1/D6</f>
        <v>1</v>
      </c>
      <c r="C8" s="12">
        <f>1/D7</f>
        <v>0.2</v>
      </c>
      <c r="D8" s="12">
        <v>1</v>
      </c>
      <c r="E8" s="13">
        <f>1/3</f>
        <v>0.33333333333333331</v>
      </c>
      <c r="F8" s="13">
        <v>1</v>
      </c>
      <c r="G8" s="14">
        <f>GEOMEAN(B8:F8)</f>
        <v>0.5818107591526881</v>
      </c>
      <c r="H8" s="14">
        <f>G8/SUM($G$6:$G$10)</f>
        <v>0.10460754136382455</v>
      </c>
      <c r="I8" s="14">
        <f>B8*$H$6+C8*$H$7+D8*$H$8+E8*$H$9+F8*$H$10</f>
        <v>0.54110791134264868</v>
      </c>
      <c r="J8" s="14">
        <f>I8/H8</f>
        <v>5.1727428471019872</v>
      </c>
    </row>
    <row r="9" spans="1:10" x14ac:dyDescent="0.25">
      <c r="A9" s="11" t="s">
        <v>12</v>
      </c>
      <c r="B9" s="12">
        <f>1/E6</f>
        <v>2</v>
      </c>
      <c r="C9" s="12">
        <f>1/E7</f>
        <v>1</v>
      </c>
      <c r="D9" s="12">
        <f>1/E8</f>
        <v>3</v>
      </c>
      <c r="E9" s="12">
        <v>1</v>
      </c>
      <c r="F9" s="13">
        <v>2</v>
      </c>
      <c r="G9" s="14">
        <f>GEOMEAN(B9:F9)</f>
        <v>1.6437518295172258</v>
      </c>
      <c r="H9" s="14">
        <f>G9/SUM($G$6:$G$10)</f>
        <v>0.29554083487301047</v>
      </c>
      <c r="I9" s="14">
        <f>B9*$H$6+C9*$H$7+D9*$H$8+E9*$H$9+F9*$H$10</f>
        <v>1.4817356247299669</v>
      </c>
      <c r="J9" s="14">
        <f>I9/H9</f>
        <v>5.0136409250066807</v>
      </c>
    </row>
    <row r="10" spans="1:10" x14ac:dyDescent="0.25">
      <c r="A10" s="11" t="s">
        <v>13</v>
      </c>
      <c r="B10" s="12">
        <f>1/F6</f>
        <v>1</v>
      </c>
      <c r="C10" s="12">
        <f>1/F7</f>
        <v>0.5</v>
      </c>
      <c r="D10" s="12">
        <f>1/F8</f>
        <v>1</v>
      </c>
      <c r="E10" s="12">
        <f>1/F9</f>
        <v>0.5</v>
      </c>
      <c r="F10" s="12">
        <v>1</v>
      </c>
      <c r="G10" s="14">
        <f>GEOMEAN(B10:F10)</f>
        <v>0.75785828325519911</v>
      </c>
      <c r="H10" s="14">
        <f>G10/SUM($G$6:$G$10)</f>
        <v>0.13626027100115895</v>
      </c>
      <c r="I10" s="14">
        <f>B10*$H$6+C10*$H$7+D10*$H$8+E10*$H$9+F10*$H$10</f>
        <v>0.68856404168307117</v>
      </c>
      <c r="J10" s="14">
        <f>I10/H10</f>
        <v>5.0533001044538848</v>
      </c>
    </row>
    <row r="11" spans="1:10" x14ac:dyDescent="0.25">
      <c r="A11" s="15" t="s">
        <v>76</v>
      </c>
      <c r="B11" s="14">
        <f>AVERAGE(J6:J10)</f>
        <v>5.0917713412915848</v>
      </c>
    </row>
    <row r="12" spans="1:10" x14ac:dyDescent="0.25">
      <c r="A12" s="15" t="s">
        <v>77</v>
      </c>
      <c r="B12" s="16">
        <f>(B11-5)/(5-1)</f>
        <v>2.2942835322896205E-2</v>
      </c>
    </row>
    <row r="13" spans="1:10" ht="30" x14ac:dyDescent="0.25">
      <c r="A13" s="15" t="s">
        <v>78</v>
      </c>
      <c r="B13" s="17">
        <f>B12/'Концепции и критерии'!$C$38</f>
        <v>2.0484674395443037E-2</v>
      </c>
      <c r="C13" s="32" t="str">
        <f>IF(B13&lt;=0.1,"согласована (ОС ≤ 10%)","требует пересмотра")</f>
        <v>согласована (ОС ≤ 10%)</v>
      </c>
      <c r="D13" s="32"/>
    </row>
    <row r="15" spans="1:10" x14ac:dyDescent="0.25">
      <c r="A15" s="30" t="s">
        <v>79</v>
      </c>
      <c r="B15" s="31"/>
      <c r="C15" s="31"/>
      <c r="D15" s="31"/>
      <c r="E15" s="31"/>
      <c r="F15" s="31"/>
      <c r="G15" s="31"/>
      <c r="H15" s="31"/>
      <c r="I15" s="31"/>
      <c r="J15" s="31"/>
    </row>
    <row r="16" spans="1:10" ht="32.1" customHeight="1" x14ac:dyDescent="0.25">
      <c r="A16" s="10" t="s">
        <v>87</v>
      </c>
      <c r="B16" s="10" t="s">
        <v>9</v>
      </c>
      <c r="C16" s="10" t="s">
        <v>10</v>
      </c>
      <c r="D16" s="10" t="s">
        <v>11</v>
      </c>
      <c r="E16" s="10" t="s">
        <v>12</v>
      </c>
      <c r="F16" s="10" t="s">
        <v>13</v>
      </c>
      <c r="G16" s="10" t="s">
        <v>72</v>
      </c>
      <c r="H16" s="10" t="s">
        <v>73</v>
      </c>
      <c r="I16" s="10" t="s">
        <v>74</v>
      </c>
      <c r="J16" s="10" t="s">
        <v>75</v>
      </c>
    </row>
    <row r="17" spans="1:10" x14ac:dyDescent="0.25">
      <c r="A17" s="11" t="s">
        <v>9</v>
      </c>
      <c r="B17" s="12">
        <v>1</v>
      </c>
      <c r="C17" s="13">
        <f>1/2</f>
        <v>0.5</v>
      </c>
      <c r="D17" s="13">
        <v>2</v>
      </c>
      <c r="E17" s="13">
        <f>1/2</f>
        <v>0.5</v>
      </c>
      <c r="F17" s="13">
        <v>2</v>
      </c>
      <c r="G17" s="14">
        <f>GEOMEAN(B17:F17)</f>
        <v>1</v>
      </c>
      <c r="H17" s="14">
        <f>G17/SUM($G$17:$G$21)</f>
        <v>0.16403830381037565</v>
      </c>
      <c r="I17" s="14">
        <f>B17*$H$17+C17*$H$18+D17*$H$19+E17*$H$20+F17*$H$21</f>
        <v>0.82270671119574734</v>
      </c>
      <c r="J17" s="14">
        <f>I17/H17</f>
        <v>5.0153329563001128</v>
      </c>
    </row>
    <row r="18" spans="1:10" x14ac:dyDescent="0.25">
      <c r="A18" s="11" t="s">
        <v>10</v>
      </c>
      <c r="B18" s="12">
        <f>1/C17</f>
        <v>2</v>
      </c>
      <c r="C18" s="12">
        <v>1</v>
      </c>
      <c r="D18" s="13">
        <v>4</v>
      </c>
      <c r="E18" s="13">
        <v>2</v>
      </c>
      <c r="F18" s="13">
        <v>4</v>
      </c>
      <c r="G18" s="14">
        <f>GEOMEAN(B18:F18)</f>
        <v>2.2973967099940702</v>
      </c>
      <c r="H18" s="14">
        <f>G18/SUM($G$17:$G$21)</f>
        <v>0.3768610594869648</v>
      </c>
      <c r="I18" s="14">
        <f>B18*$H$17+C18*$H$18+D18*$H$19+E18*$H$20+F18*$H$21</f>
        <v>1.9440556862337814</v>
      </c>
      <c r="J18" s="14">
        <f>I18/H18</f>
        <v>5.1585475264552354</v>
      </c>
    </row>
    <row r="19" spans="1:10" x14ac:dyDescent="0.25">
      <c r="A19" s="11" t="s">
        <v>11</v>
      </c>
      <c r="B19" s="12">
        <f>1/D17</f>
        <v>0.5</v>
      </c>
      <c r="C19" s="12">
        <f>1/D18</f>
        <v>0.25</v>
      </c>
      <c r="D19" s="12">
        <v>1</v>
      </c>
      <c r="E19" s="13">
        <f>1/4</f>
        <v>0.25</v>
      </c>
      <c r="F19" s="13">
        <v>1</v>
      </c>
      <c r="G19" s="14">
        <f>GEOMEAN(B19:F19)</f>
        <v>0.5</v>
      </c>
      <c r="H19" s="14">
        <f>G19/SUM($G$17:$G$21)</f>
        <v>8.2019151905187826E-2</v>
      </c>
      <c r="I19" s="14">
        <f>B19*$H$17+C19*$H$18+D19*$H$19+E19*$H$20+F19*$H$21</f>
        <v>0.41135335559787367</v>
      </c>
      <c r="J19" s="14">
        <f>I19/H19</f>
        <v>5.0153329563001128</v>
      </c>
    </row>
    <row r="20" spans="1:10" x14ac:dyDescent="0.25">
      <c r="A20" s="11" t="s">
        <v>12</v>
      </c>
      <c r="B20" s="12">
        <f>1/E17</f>
        <v>2</v>
      </c>
      <c r="C20" s="12">
        <f>1/E18</f>
        <v>0.5</v>
      </c>
      <c r="D20" s="12">
        <f>1/E19</f>
        <v>4</v>
      </c>
      <c r="E20" s="12">
        <v>1</v>
      </c>
      <c r="F20" s="13">
        <v>5</v>
      </c>
      <c r="G20" s="14">
        <f>GEOMEAN(B20:F20)</f>
        <v>1.8205642030260802</v>
      </c>
      <c r="H20" s="14">
        <f>G20/SUM($G$17:$G$21)</f>
        <v>0.29864226384228659</v>
      </c>
      <c r="I20" s="14">
        <f>B20*$H$17+C20*$H$18+D20*$H$19+E20*$H$20+F20*$H$21</f>
        <v>1.5354221136031976</v>
      </c>
      <c r="J20" s="14">
        <f>I20/H20</f>
        <v>5.1413423332943129</v>
      </c>
    </row>
    <row r="21" spans="1:10" x14ac:dyDescent="0.25">
      <c r="A21" s="11" t="s">
        <v>13</v>
      </c>
      <c r="B21" s="12">
        <f>1/F17</f>
        <v>0.5</v>
      </c>
      <c r="C21" s="12">
        <f>1/F18</f>
        <v>0.25</v>
      </c>
      <c r="D21" s="12">
        <f>1/F19</f>
        <v>1</v>
      </c>
      <c r="E21" s="12">
        <f>1/F20</f>
        <v>0.2</v>
      </c>
      <c r="F21" s="12">
        <v>1</v>
      </c>
      <c r="G21" s="14">
        <f>GEOMEAN(B21:F21)</f>
        <v>0.4781762498950185</v>
      </c>
      <c r="H21" s="14">
        <f>G21/SUM($G$17:$G$21)</f>
        <v>7.8439220955185157E-2</v>
      </c>
      <c r="I21" s="14">
        <f>B21*$H$17+C21*$H$18+D21*$H$19+E21*$H$20+F21*$H$21</f>
        <v>0.39642124240575938</v>
      </c>
      <c r="J21" s="14">
        <f>I21/H21</f>
        <v>5.0538651146503293</v>
      </c>
    </row>
    <row r="22" spans="1:10" x14ac:dyDescent="0.25">
      <c r="A22" s="15" t="s">
        <v>76</v>
      </c>
      <c r="B22" s="14">
        <f>AVERAGE(J17:J21)</f>
        <v>5.0768841774000206</v>
      </c>
    </row>
    <row r="23" spans="1:10" x14ac:dyDescent="0.25">
      <c r="A23" s="15" t="s">
        <v>77</v>
      </c>
      <c r="B23" s="16">
        <f>(B22-5)/(5-1)</f>
        <v>1.9221044350005156E-2</v>
      </c>
    </row>
    <row r="24" spans="1:10" ht="30" x14ac:dyDescent="0.25">
      <c r="A24" s="15" t="s">
        <v>78</v>
      </c>
      <c r="B24" s="17">
        <f>B23/'Концепции и критерии'!$C$38</f>
        <v>1.716164674107603E-2</v>
      </c>
      <c r="C24" s="32" t="str">
        <f>IF(B24&lt;=0.1,"согласована (ОС ≤ 10%)","требует пересмотра")</f>
        <v>согласована (ОС ≤ 10%)</v>
      </c>
      <c r="D24" s="32"/>
    </row>
    <row r="26" spans="1:10" x14ac:dyDescent="0.25">
      <c r="A26" s="30" t="s">
        <v>80</v>
      </c>
      <c r="B26" s="31"/>
      <c r="C26" s="31"/>
      <c r="D26" s="31"/>
      <c r="E26" s="31"/>
      <c r="F26" s="31"/>
      <c r="G26" s="31"/>
      <c r="H26" s="31"/>
      <c r="I26" s="31"/>
      <c r="J26" s="31"/>
    </row>
    <row r="27" spans="1:10" ht="32.1" customHeight="1" x14ac:dyDescent="0.25">
      <c r="A27" s="10" t="s">
        <v>87</v>
      </c>
      <c r="B27" s="10" t="s">
        <v>9</v>
      </c>
      <c r="C27" s="10" t="s">
        <v>10</v>
      </c>
      <c r="D27" s="10" t="s">
        <v>11</v>
      </c>
      <c r="E27" s="10" t="s">
        <v>12</v>
      </c>
      <c r="F27" s="10" t="s">
        <v>13</v>
      </c>
      <c r="G27" s="10" t="s">
        <v>72</v>
      </c>
      <c r="H27" s="10" t="s">
        <v>73</v>
      </c>
      <c r="I27" s="10" t="s">
        <v>74</v>
      </c>
      <c r="J27" s="10" t="s">
        <v>75</v>
      </c>
    </row>
    <row r="28" spans="1:10" x14ac:dyDescent="0.25">
      <c r="A28" s="11" t="s">
        <v>9</v>
      </c>
      <c r="B28" s="12">
        <v>1</v>
      </c>
      <c r="C28" s="13">
        <v>2</v>
      </c>
      <c r="D28" s="13">
        <v>3</v>
      </c>
      <c r="E28" s="13">
        <v>1</v>
      </c>
      <c r="F28" s="13">
        <v>2</v>
      </c>
      <c r="G28" s="14">
        <f>GEOMEAN(B28:F28)</f>
        <v>1.6437518295172258</v>
      </c>
      <c r="H28" s="14">
        <f>G28/SUM($G$28:$G$32)</f>
        <v>0.30273221475138651</v>
      </c>
      <c r="I28" s="14">
        <f>B28*$H$28+C28*$H$29+D28*$H$30+E28*$H$31+F28*$H$32</f>
        <v>1.5575681267780421</v>
      </c>
      <c r="J28" s="14">
        <f>I28/H28</f>
        <v>5.1450359455704691</v>
      </c>
    </row>
    <row r="29" spans="1:10" x14ac:dyDescent="0.25">
      <c r="A29" s="11" t="s">
        <v>10</v>
      </c>
      <c r="B29" s="12">
        <f>1/C28</f>
        <v>0.5</v>
      </c>
      <c r="C29" s="12">
        <v>1</v>
      </c>
      <c r="D29" s="13">
        <v>3</v>
      </c>
      <c r="E29" s="13">
        <v>1</v>
      </c>
      <c r="F29" s="13">
        <v>2</v>
      </c>
      <c r="G29" s="14">
        <f>GEOMEAN(B29:F29)</f>
        <v>1.2457309396155174</v>
      </c>
      <c r="H29" s="14">
        <f>G29/SUM($G$28:$G$32)</f>
        <v>0.22942811655753004</v>
      </c>
      <c r="I29" s="14">
        <f>B29*$H$28+C29*$H$29+D29*$H$30+E29*$H$31+F29*$H$32</f>
        <v>1.176773902844819</v>
      </c>
      <c r="J29" s="14">
        <f>I29/H29</f>
        <v>5.129161676004685</v>
      </c>
    </row>
    <row r="30" spans="1:10" x14ac:dyDescent="0.25">
      <c r="A30" s="11" t="s">
        <v>11</v>
      </c>
      <c r="B30" s="12">
        <f>1/D28</f>
        <v>0.33333333333333331</v>
      </c>
      <c r="C30" s="12">
        <f>1/D29</f>
        <v>0.33333333333333331</v>
      </c>
      <c r="D30" s="12">
        <v>1</v>
      </c>
      <c r="E30" s="13">
        <f>1/2</f>
        <v>0.5</v>
      </c>
      <c r="F30" s="13">
        <v>1</v>
      </c>
      <c r="G30" s="14">
        <f>GEOMEAN(B30:F30)</f>
        <v>0.56097757272309978</v>
      </c>
      <c r="H30" s="14">
        <f>G30/SUM($G$28:$G$32)</f>
        <v>0.10331607239409087</v>
      </c>
      <c r="I30" s="14">
        <f>B30*$H$28+C30*$H$29+D30*$H$30+E30*$H$31+F30*$H$32</f>
        <v>0.52371858036172458</v>
      </c>
      <c r="J30" s="14">
        <f>I30/H30</f>
        <v>5.0690910738848265</v>
      </c>
    </row>
    <row r="31" spans="1:10" x14ac:dyDescent="0.25">
      <c r="A31" s="11" t="s">
        <v>12</v>
      </c>
      <c r="B31" s="12">
        <f>1/E28</f>
        <v>1</v>
      </c>
      <c r="C31" s="12">
        <f>1/E29</f>
        <v>1</v>
      </c>
      <c r="D31" s="12">
        <f>1/E30</f>
        <v>2</v>
      </c>
      <c r="E31" s="12">
        <v>1</v>
      </c>
      <c r="F31" s="13">
        <v>2</v>
      </c>
      <c r="G31" s="14">
        <f>GEOMEAN(B31:F31)</f>
        <v>1.3195079107728942</v>
      </c>
      <c r="H31" s="14">
        <f>G31/SUM($G$28:$G$32)</f>
        <v>0.24301573086466155</v>
      </c>
      <c r="I31" s="14">
        <f>B31*$H$28+C31*$H$29+D31*$H$30+E31*$H$31+F31*$H$32</f>
        <v>1.2248239378264212</v>
      </c>
      <c r="J31" s="14">
        <f>I31/H31</f>
        <v>5.0401014513276126</v>
      </c>
    </row>
    <row r="32" spans="1:10" x14ac:dyDescent="0.25">
      <c r="A32" s="11" t="s">
        <v>13</v>
      </c>
      <c r="B32" s="12">
        <f>1/F28</f>
        <v>0.5</v>
      </c>
      <c r="C32" s="12">
        <f>1/F29</f>
        <v>0.5</v>
      </c>
      <c r="D32" s="12">
        <f>1/F30</f>
        <v>1</v>
      </c>
      <c r="E32" s="12">
        <f>1/F31</f>
        <v>0.5</v>
      </c>
      <c r="F32" s="12">
        <v>1</v>
      </c>
      <c r="G32" s="14">
        <f>GEOMEAN(B32:F32)</f>
        <v>0.6597539553864471</v>
      </c>
      <c r="H32" s="14">
        <f>G32/SUM($G$28:$G$32)</f>
        <v>0.12150786543233077</v>
      </c>
      <c r="I32" s="14">
        <f>B32*$H$28+C32*$H$29+D32*$H$30+E32*$H$31+F32*$H$32</f>
        <v>0.61241196891321059</v>
      </c>
      <c r="J32" s="14">
        <f>I32/H32</f>
        <v>5.0401014513276126</v>
      </c>
    </row>
    <row r="33" spans="1:10" x14ac:dyDescent="0.25">
      <c r="A33" s="15" t="s">
        <v>76</v>
      </c>
      <c r="B33" s="14">
        <f>AVERAGE(J28:J32)</f>
        <v>5.0846983196230413</v>
      </c>
    </row>
    <row r="34" spans="1:10" x14ac:dyDescent="0.25">
      <c r="A34" s="15" t="s">
        <v>77</v>
      </c>
      <c r="B34" s="16">
        <f>(B33-5)/(5-1)</f>
        <v>2.1174579905760327E-2</v>
      </c>
    </row>
    <row r="35" spans="1:10" ht="30" x14ac:dyDescent="0.25">
      <c r="A35" s="15" t="s">
        <v>78</v>
      </c>
      <c r="B35" s="17">
        <f>B34/'Концепции и критерии'!$C$38</f>
        <v>1.8905874915857431E-2</v>
      </c>
      <c r="C35" s="32" t="str">
        <f>IF(B35&lt;=0.1,"согласована (ОС ≤ 10%)","требует пересмотра")</f>
        <v>согласована (ОС ≤ 10%)</v>
      </c>
      <c r="D35" s="32"/>
    </row>
    <row r="37" spans="1:10" x14ac:dyDescent="0.25">
      <c r="A37" s="30" t="s">
        <v>81</v>
      </c>
      <c r="B37" s="31"/>
      <c r="C37" s="31"/>
      <c r="D37" s="31"/>
      <c r="E37" s="31"/>
      <c r="F37" s="31"/>
      <c r="G37" s="31"/>
      <c r="H37" s="31"/>
      <c r="I37" s="31"/>
      <c r="J37" s="31"/>
    </row>
    <row r="38" spans="1:10" ht="32.1" customHeight="1" x14ac:dyDescent="0.25">
      <c r="A38" s="10" t="s">
        <v>87</v>
      </c>
      <c r="B38" s="10" t="s">
        <v>9</v>
      </c>
      <c r="C38" s="10" t="s">
        <v>10</v>
      </c>
      <c r="D38" s="10" t="s">
        <v>11</v>
      </c>
      <c r="E38" s="10" t="s">
        <v>12</v>
      </c>
      <c r="F38" s="10" t="s">
        <v>13</v>
      </c>
      <c r="G38" s="10" t="s">
        <v>72</v>
      </c>
      <c r="H38" s="10" t="s">
        <v>73</v>
      </c>
      <c r="I38" s="10" t="s">
        <v>74</v>
      </c>
      <c r="J38" s="10" t="s">
        <v>75</v>
      </c>
    </row>
    <row r="39" spans="1:10" x14ac:dyDescent="0.25">
      <c r="A39" s="11" t="s">
        <v>9</v>
      </c>
      <c r="B39" s="14">
        <f t="shared" ref="B39:F43" si="0">GEOMEAN(B6,B17,B28)</f>
        <v>1</v>
      </c>
      <c r="C39" s="14">
        <f t="shared" si="0"/>
        <v>0.79370052598409979</v>
      </c>
      <c r="D39" s="14">
        <f t="shared" si="0"/>
        <v>1.8171205928321397</v>
      </c>
      <c r="E39" s="14">
        <f t="shared" si="0"/>
        <v>0.6299605249474366</v>
      </c>
      <c r="F39" s="14">
        <f t="shared" si="0"/>
        <v>1.5874010519681994</v>
      </c>
      <c r="G39" s="14">
        <f>GEOMEAN(B39:F39)</f>
        <v>1.075989624725346</v>
      </c>
      <c r="H39" s="18">
        <f>G39/SUM($G$39:$G$43)</f>
        <v>0.19361631989880679</v>
      </c>
      <c r="I39" s="14">
        <f>B39*$H$39+C39*$H$40+D39*$H$41+E39*$H$42+F39*$H$43</f>
        <v>0.97635220881862983</v>
      </c>
      <c r="J39" s="14">
        <f>I39/H39</f>
        <v>5.0427164886147953</v>
      </c>
    </row>
    <row r="40" spans="1:10" x14ac:dyDescent="0.25">
      <c r="A40" s="11" t="s">
        <v>10</v>
      </c>
      <c r="B40" s="14">
        <f t="shared" si="0"/>
        <v>1.2599210498948732</v>
      </c>
      <c r="C40" s="14">
        <f t="shared" si="0"/>
        <v>1</v>
      </c>
      <c r="D40" s="14">
        <f t="shared" si="0"/>
        <v>3.9148676411688634</v>
      </c>
      <c r="E40" s="14">
        <f t="shared" si="0"/>
        <v>1.2599210498948732</v>
      </c>
      <c r="F40" s="14">
        <f t="shared" si="0"/>
        <v>2.5198420997897464</v>
      </c>
      <c r="G40" s="14">
        <f>GEOMEAN(B40:F40)</f>
        <v>1.7336260130921834</v>
      </c>
      <c r="H40" s="18">
        <f>G40/SUM($G$39:$G$43)</f>
        <v>0.31195309045979724</v>
      </c>
      <c r="I40" s="14">
        <f>B40*$H$39+C40*$H$40+D40*$H$41+E40*$H$42+F40*$H$43</f>
        <v>1.5806185344746688</v>
      </c>
      <c r="J40" s="14">
        <f>I40/H40</f>
        <v>5.0668468523422758</v>
      </c>
    </row>
    <row r="41" spans="1:10" x14ac:dyDescent="0.25">
      <c r="A41" s="11" t="s">
        <v>11</v>
      </c>
      <c r="B41" s="14">
        <f t="shared" si="0"/>
        <v>0.55032120814910446</v>
      </c>
      <c r="C41" s="14">
        <f t="shared" si="0"/>
        <v>0.2554364774645177</v>
      </c>
      <c r="D41" s="14">
        <f t="shared" si="0"/>
        <v>1</v>
      </c>
      <c r="E41" s="14">
        <f t="shared" si="0"/>
        <v>0.34668063717531733</v>
      </c>
      <c r="F41" s="14">
        <f t="shared" si="0"/>
        <v>1</v>
      </c>
      <c r="G41" s="14">
        <f>GEOMEAN(B41:F41)</f>
        <v>0.54646927695004965</v>
      </c>
      <c r="H41" s="18">
        <f>G41/SUM($G$39:$G$43)</f>
        <v>9.8333076741179568E-2</v>
      </c>
      <c r="I41" s="14">
        <f>B41*$H$39+C41*$H$40+D41*$H$41+E41*$H$42+F41*$H$43</f>
        <v>0.49485235871168815</v>
      </c>
      <c r="J41" s="14">
        <f>I41/H41</f>
        <v>5.0324099998841554</v>
      </c>
    </row>
    <row r="42" spans="1:10" x14ac:dyDescent="0.25">
      <c r="A42" s="11" t="s">
        <v>12</v>
      </c>
      <c r="B42" s="14">
        <f t="shared" si="0"/>
        <v>1.5874010519681994</v>
      </c>
      <c r="C42" s="14">
        <f t="shared" si="0"/>
        <v>0.79370052598409979</v>
      </c>
      <c r="D42" s="14">
        <f t="shared" si="0"/>
        <v>2.8844991406148166</v>
      </c>
      <c r="E42" s="14">
        <f t="shared" si="0"/>
        <v>1</v>
      </c>
      <c r="F42" s="14">
        <f t="shared" si="0"/>
        <v>2.7144176165949068</v>
      </c>
      <c r="G42" s="14">
        <f>GEOMEAN(B42:F42)</f>
        <v>1.5805858228856651</v>
      </c>
      <c r="H42" s="18">
        <f>G42/SUM($G$39:$G$43)</f>
        <v>0.28441464794743287</v>
      </c>
      <c r="I42" s="14">
        <f>B42*$H$39+C42*$H$40+D42*$H$41+E42*$H$42+F42*$H$43</f>
        <v>1.4261543412668853</v>
      </c>
      <c r="J42" s="14">
        <f>I42/H42</f>
        <v>5.0143491256838333</v>
      </c>
    </row>
    <row r="43" spans="1:10" x14ac:dyDescent="0.25">
      <c r="A43" s="11" t="s">
        <v>13</v>
      </c>
      <c r="B43" s="14">
        <f t="shared" si="0"/>
        <v>0.6299605249474366</v>
      </c>
      <c r="C43" s="14">
        <f t="shared" si="0"/>
        <v>0.3968502629920499</v>
      </c>
      <c r="D43" s="14">
        <f t="shared" si="0"/>
        <v>1</v>
      </c>
      <c r="E43" s="14">
        <f t="shared" si="0"/>
        <v>0.36840314986403866</v>
      </c>
      <c r="F43" s="14">
        <f t="shared" si="0"/>
        <v>1</v>
      </c>
      <c r="G43" s="14">
        <f>GEOMEAN(B43:F43)</f>
        <v>0.62065844455469155</v>
      </c>
      <c r="H43" s="18">
        <f>G43/SUM($G$39:$G$43)</f>
        <v>0.11168286495278347</v>
      </c>
      <c r="I43" s="14">
        <f>B43*$H$39+C43*$H$40+D43*$H$41+E43*$H$42+F43*$H$43</f>
        <v>0.56056449837726541</v>
      </c>
      <c r="J43" s="14">
        <f>I43/H43</f>
        <v>5.0192524933368885</v>
      </c>
    </row>
    <row r="44" spans="1:10" x14ac:dyDescent="0.25">
      <c r="A44" s="15" t="s">
        <v>76</v>
      </c>
      <c r="B44" s="14">
        <f>AVERAGE(J39:J43)</f>
        <v>5.0351149919723897</v>
      </c>
    </row>
    <row r="45" spans="1:10" x14ac:dyDescent="0.25">
      <c r="A45" s="15" t="s">
        <v>77</v>
      </c>
      <c r="B45" s="16">
        <f>(B44-5)/(5-1)</f>
        <v>8.7787479930974133E-3</v>
      </c>
    </row>
    <row r="46" spans="1:10" ht="30" x14ac:dyDescent="0.25">
      <c r="A46" s="15" t="s">
        <v>78</v>
      </c>
      <c r="B46" s="17">
        <f>B45/'Концепции и критерии'!$C$38</f>
        <v>7.8381678509798318E-3</v>
      </c>
      <c r="C46" s="32" t="str">
        <f>IF(B46&lt;=0.1,"согласована (ОС ≤ 10%)","требует пересмотра")</f>
        <v>согласована (ОС ≤ 10%)</v>
      </c>
      <c r="D46" s="32"/>
    </row>
  </sheetData>
  <mergeCells count="10">
    <mergeCell ref="A1:J1"/>
    <mergeCell ref="A37:J37"/>
    <mergeCell ref="C46:D46"/>
    <mergeCell ref="C24:D24"/>
    <mergeCell ref="A15:J15"/>
    <mergeCell ref="A4:J4"/>
    <mergeCell ref="C13:D13"/>
    <mergeCell ref="A26:J26"/>
    <mergeCell ref="A2:J2"/>
    <mergeCell ref="C35:D3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46"/>
  <sheetViews>
    <sheetView topLeftCell="A28" workbookViewId="0">
      <selection sqref="A1:J1"/>
    </sheetView>
  </sheetViews>
  <sheetFormatPr defaultColWidth="8.85546875" defaultRowHeight="15" x14ac:dyDescent="0.25"/>
  <cols>
    <col min="1" max="1" width="30" customWidth="1"/>
    <col min="2" max="29" width="12.42578125" customWidth="1"/>
  </cols>
  <sheetData>
    <row r="1" spans="1:10" ht="21.95" customHeight="1" x14ac:dyDescent="0.25">
      <c r="A1" s="27" t="s">
        <v>88</v>
      </c>
      <c r="B1" s="28"/>
      <c r="C1" s="28"/>
      <c r="D1" s="28"/>
      <c r="E1" s="28"/>
      <c r="F1" s="28"/>
      <c r="G1" s="28"/>
      <c r="H1" s="28"/>
      <c r="I1" s="28"/>
      <c r="J1" s="28"/>
    </row>
    <row r="2" spans="1:10" ht="30" customHeight="1" x14ac:dyDescent="0.25">
      <c r="A2" s="29" t="s">
        <v>70</v>
      </c>
      <c r="B2" s="28"/>
      <c r="C2" s="28"/>
      <c r="D2" s="28"/>
      <c r="E2" s="28"/>
      <c r="F2" s="28"/>
      <c r="G2" s="28"/>
      <c r="H2" s="28"/>
      <c r="I2" s="28"/>
      <c r="J2" s="28"/>
    </row>
    <row r="4" spans="1:10" x14ac:dyDescent="0.25">
      <c r="A4" s="30" t="s">
        <v>71</v>
      </c>
      <c r="B4" s="31"/>
      <c r="C4" s="31"/>
      <c r="D4" s="31"/>
      <c r="E4" s="31"/>
      <c r="F4" s="31"/>
      <c r="G4" s="31"/>
      <c r="H4" s="31"/>
      <c r="I4" s="31"/>
      <c r="J4" s="31"/>
    </row>
    <row r="5" spans="1:10" ht="32.1" customHeight="1" x14ac:dyDescent="0.25">
      <c r="A5" s="10" t="s">
        <v>89</v>
      </c>
      <c r="B5" s="10" t="s">
        <v>9</v>
      </c>
      <c r="C5" s="10" t="s">
        <v>10</v>
      </c>
      <c r="D5" s="10" t="s">
        <v>11</v>
      </c>
      <c r="E5" s="10" t="s">
        <v>12</v>
      </c>
      <c r="F5" s="10" t="s">
        <v>13</v>
      </c>
      <c r="G5" s="10" t="s">
        <v>72</v>
      </c>
      <c r="H5" s="10" t="s">
        <v>73</v>
      </c>
      <c r="I5" s="10" t="s">
        <v>74</v>
      </c>
      <c r="J5" s="10" t="s">
        <v>75</v>
      </c>
    </row>
    <row r="6" spans="1:10" x14ac:dyDescent="0.25">
      <c r="A6" s="11" t="s">
        <v>9</v>
      </c>
      <c r="B6" s="12">
        <v>1</v>
      </c>
      <c r="C6" s="13">
        <v>4</v>
      </c>
      <c r="D6" s="13">
        <v>2</v>
      </c>
      <c r="E6" s="13">
        <v>9</v>
      </c>
      <c r="F6" s="13">
        <v>1</v>
      </c>
      <c r="G6" s="14">
        <f>GEOMEAN(B6:F6)</f>
        <v>2.3521580450493471</v>
      </c>
      <c r="H6" s="14">
        <f>G6/SUM($G$6:$G$10)</f>
        <v>0.36166796344718705</v>
      </c>
      <c r="I6" s="14">
        <f>B6*$H$6+C6*$H$7+D6*$H$8+E6*$H$9+F6*$H$10</f>
        <v>1.8157689172216829</v>
      </c>
      <c r="J6" s="14">
        <f>I6/H6</f>
        <v>5.0205412166312389</v>
      </c>
    </row>
    <row r="7" spans="1:10" x14ac:dyDescent="0.25">
      <c r="A7" s="11" t="s">
        <v>10</v>
      </c>
      <c r="B7" s="12">
        <f>1/C6</f>
        <v>0.25</v>
      </c>
      <c r="C7" s="12">
        <v>1</v>
      </c>
      <c r="D7" s="13">
        <f>1/3</f>
        <v>0.33333333333333331</v>
      </c>
      <c r="E7" s="13">
        <v>2</v>
      </c>
      <c r="F7" s="13">
        <f>1/3</f>
        <v>0.33333333333333331</v>
      </c>
      <c r="G7" s="14">
        <f>GEOMEAN(B7:F7)</f>
        <v>0.56097757272309978</v>
      </c>
      <c r="H7" s="14">
        <f>G7/SUM($G$6:$G$10)</f>
        <v>8.625594555320508E-2</v>
      </c>
      <c r="I7" s="14">
        <f>B7*$H$6+C7*$H$7+D7*$H$8+E7*$H$9+F7*$H$10</f>
        <v>0.43683526171667364</v>
      </c>
      <c r="J7" s="14">
        <f>I7/H7</f>
        <v>5.0644075479668986</v>
      </c>
    </row>
    <row r="8" spans="1:10" x14ac:dyDescent="0.25">
      <c r="A8" s="11" t="s">
        <v>11</v>
      </c>
      <c r="B8" s="12">
        <f>1/D6</f>
        <v>0.5</v>
      </c>
      <c r="C8" s="12">
        <f>1/D7</f>
        <v>3</v>
      </c>
      <c r="D8" s="12">
        <v>1</v>
      </c>
      <c r="E8" s="13">
        <v>4</v>
      </c>
      <c r="F8" s="13">
        <f>1/2</f>
        <v>0.5</v>
      </c>
      <c r="G8" s="14">
        <f>GEOMEAN(B8:F8)</f>
        <v>1.2457309396155174</v>
      </c>
      <c r="H8" s="14">
        <f>G8/SUM($G$6:$G$10)</f>
        <v>0.19154366471341547</v>
      </c>
      <c r="I8" s="14">
        <f>B8*$H$6+C8*$H$7+D8*$H$8+E8*$H$9+F8*$H$10</f>
        <v>0.97129931567350569</v>
      </c>
      <c r="J8" s="14">
        <f>I8/H8</f>
        <v>5.0709028519776318</v>
      </c>
    </row>
    <row r="9" spans="1:10" x14ac:dyDescent="0.25">
      <c r="A9" s="11" t="s">
        <v>12</v>
      </c>
      <c r="B9" s="12">
        <f>1/E6</f>
        <v>0.1111111111111111</v>
      </c>
      <c r="C9" s="12">
        <f>1/E7</f>
        <v>0.5</v>
      </c>
      <c r="D9" s="12">
        <f>1/E8</f>
        <v>0.25</v>
      </c>
      <c r="E9" s="12">
        <v>1</v>
      </c>
      <c r="F9" s="13">
        <f>1/6</f>
        <v>0.16666666666666666</v>
      </c>
      <c r="G9" s="14">
        <f>GEOMEAN(B9:F9)</f>
        <v>0.29710040966100054</v>
      </c>
      <c r="H9" s="14">
        <f>G9/SUM($G$6:$G$10)</f>
        <v>4.568217698108154E-2</v>
      </c>
      <c r="I9" s="14">
        <f>B9*$H$6+C9*$H$7+D9*$H$8+E9*$H$9+F9*$H$10</f>
        <v>0.22935643675879938</v>
      </c>
      <c r="J9" s="14">
        <f>I9/H9</f>
        <v>5.0206984849645684</v>
      </c>
    </row>
    <row r="10" spans="1:10" x14ac:dyDescent="0.25">
      <c r="A10" s="11" t="s">
        <v>13</v>
      </c>
      <c r="B10" s="12">
        <f>1/F6</f>
        <v>1</v>
      </c>
      <c r="C10" s="12">
        <f>1/F7</f>
        <v>3</v>
      </c>
      <c r="D10" s="12">
        <f>1/F8</f>
        <v>2</v>
      </c>
      <c r="E10" s="12">
        <f>1/F9</f>
        <v>6</v>
      </c>
      <c r="F10" s="12">
        <v>1</v>
      </c>
      <c r="G10" s="14">
        <f>GEOMEAN(B10:F10)</f>
        <v>2.0476725110792193</v>
      </c>
      <c r="H10" s="14">
        <f>G10/SUM($G$6:$G$10)</f>
        <v>0.31485024930511074</v>
      </c>
      <c r="I10" s="14">
        <f>B10*$H$6+C10*$H$7+D10*$H$8+E10*$H$9+F10*$H$10</f>
        <v>1.5924664407252331</v>
      </c>
      <c r="J10" s="14">
        <f>I10/H10</f>
        <v>5.0578535168381835</v>
      </c>
    </row>
    <row r="11" spans="1:10" x14ac:dyDescent="0.25">
      <c r="A11" s="15" t="s">
        <v>76</v>
      </c>
      <c r="B11" s="14">
        <f>AVERAGE(J6:J10)</f>
        <v>5.0468807236757041</v>
      </c>
    </row>
    <row r="12" spans="1:10" x14ac:dyDescent="0.25">
      <c r="A12" s="15" t="s">
        <v>77</v>
      </c>
      <c r="B12" s="16">
        <f>(B11-5)/(5-1)</f>
        <v>1.1720180918926015E-2</v>
      </c>
    </row>
    <row r="13" spans="1:10" ht="30" x14ac:dyDescent="0.25">
      <c r="A13" s="15" t="s">
        <v>78</v>
      </c>
      <c r="B13" s="17">
        <f>B12/'Концепции и критерии'!$C$38</f>
        <v>1.0464447249041085E-2</v>
      </c>
      <c r="C13" s="32" t="str">
        <f>IF(B13&lt;=0.1,"согласована (ОС ≤ 10%)","требует пересмотра")</f>
        <v>согласована (ОС ≤ 10%)</v>
      </c>
      <c r="D13" s="32"/>
    </row>
    <row r="15" spans="1:10" x14ac:dyDescent="0.25">
      <c r="A15" s="30" t="s">
        <v>79</v>
      </c>
      <c r="B15" s="31"/>
      <c r="C15" s="31"/>
      <c r="D15" s="31"/>
      <c r="E15" s="31"/>
      <c r="F15" s="31"/>
      <c r="G15" s="31"/>
      <c r="H15" s="31"/>
      <c r="I15" s="31"/>
      <c r="J15" s="31"/>
    </row>
    <row r="16" spans="1:10" ht="32.1" customHeight="1" x14ac:dyDescent="0.25">
      <c r="A16" s="10" t="s">
        <v>89</v>
      </c>
      <c r="B16" s="10" t="s">
        <v>9</v>
      </c>
      <c r="C16" s="10" t="s">
        <v>10</v>
      </c>
      <c r="D16" s="10" t="s">
        <v>11</v>
      </c>
      <c r="E16" s="10" t="s">
        <v>12</v>
      </c>
      <c r="F16" s="10" t="s">
        <v>13</v>
      </c>
      <c r="G16" s="10" t="s">
        <v>72</v>
      </c>
      <c r="H16" s="10" t="s">
        <v>73</v>
      </c>
      <c r="I16" s="10" t="s">
        <v>74</v>
      </c>
      <c r="J16" s="10" t="s">
        <v>75</v>
      </c>
    </row>
    <row r="17" spans="1:10" x14ac:dyDescent="0.25">
      <c r="A17" s="11" t="s">
        <v>9</v>
      </c>
      <c r="B17" s="12">
        <v>1</v>
      </c>
      <c r="C17" s="13">
        <v>3</v>
      </c>
      <c r="D17" s="13">
        <v>2</v>
      </c>
      <c r="E17" s="13">
        <v>7</v>
      </c>
      <c r="F17" s="13">
        <v>1</v>
      </c>
      <c r="G17" s="14">
        <f>GEOMEAN(B17:F17)</f>
        <v>2.1117857649667537</v>
      </c>
      <c r="H17" s="14">
        <f>G17/SUM($G$17:$G$21)</f>
        <v>0.3316060144588146</v>
      </c>
      <c r="I17" s="14">
        <f>B17*$H$17+C17*$H$18+D17*$H$19+E17*$H$20+F17*$H$21</f>
        <v>1.7010979773712946</v>
      </c>
      <c r="J17" s="14">
        <f>I17/H17</f>
        <v>5.1298767308171689</v>
      </c>
    </row>
    <row r="18" spans="1:10" x14ac:dyDescent="0.25">
      <c r="A18" s="11" t="s">
        <v>10</v>
      </c>
      <c r="B18" s="12">
        <f>1/C17</f>
        <v>0.33333333333333331</v>
      </c>
      <c r="C18" s="12">
        <v>1</v>
      </c>
      <c r="D18" s="13">
        <f>1/3</f>
        <v>0.33333333333333331</v>
      </c>
      <c r="E18" s="13">
        <v>2</v>
      </c>
      <c r="F18" s="13">
        <f>1/3</f>
        <v>0.33333333333333331</v>
      </c>
      <c r="G18" s="14">
        <f>GEOMEAN(B18:F18)</f>
        <v>0.59420081932200108</v>
      </c>
      <c r="H18" s="14">
        <f>G18/SUM($G$17:$G$21)</f>
        <v>9.3305186895524417E-2</v>
      </c>
      <c r="I18" s="14">
        <f>B18*$H$17+C18*$H$18+D18*$H$19+E18*$H$20+F18*$H$21</f>
        <v>0.46864157980406901</v>
      </c>
      <c r="J18" s="14">
        <f>I18/H18</f>
        <v>5.0226744664132754</v>
      </c>
    </row>
    <row r="19" spans="1:10" x14ac:dyDescent="0.25">
      <c r="A19" s="11" t="s">
        <v>11</v>
      </c>
      <c r="B19" s="12">
        <f>1/D17</f>
        <v>0.5</v>
      </c>
      <c r="C19" s="12">
        <f>1/D18</f>
        <v>3</v>
      </c>
      <c r="D19" s="12">
        <v>1</v>
      </c>
      <c r="E19" s="13">
        <v>7</v>
      </c>
      <c r="F19" s="13">
        <v>1</v>
      </c>
      <c r="G19" s="14">
        <f>GEOMEAN(B19:F19)</f>
        <v>1.6004343344404715</v>
      </c>
      <c r="H19" s="14">
        <f>G19/SUM($G$17:$G$21)</f>
        <v>0.25131036483485597</v>
      </c>
      <c r="I19" s="14">
        <f>B19*$H$17+C19*$H$18+D19*$H$19+E19*$H$20+F19*$H$21</f>
        <v>1.2839846053070314</v>
      </c>
      <c r="J19" s="14">
        <f>I19/H19</f>
        <v>5.1091589722165995</v>
      </c>
    </row>
    <row r="20" spans="1:10" x14ac:dyDescent="0.25">
      <c r="A20" s="11" t="s">
        <v>12</v>
      </c>
      <c r="B20" s="12">
        <f>1/E17</f>
        <v>0.14285714285714285</v>
      </c>
      <c r="C20" s="12">
        <f>1/E18</f>
        <v>0.5</v>
      </c>
      <c r="D20" s="12">
        <f>1/E19</f>
        <v>0.14285714285714285</v>
      </c>
      <c r="E20" s="12">
        <v>1</v>
      </c>
      <c r="F20" s="13">
        <f>1/6</f>
        <v>0.16666666666666666</v>
      </c>
      <c r="G20" s="14">
        <f>GEOMEAN(B20:F20)</f>
        <v>0.27933447234202596</v>
      </c>
      <c r="H20" s="14">
        <f>G20/SUM($G$17:$G$21)</f>
        <v>4.3862873124231656E-2</v>
      </c>
      <c r="I20" s="14">
        <f>B20*$H$17+C20*$H$18+D20*$H$19+E20*$H$20+F20*$H$21</f>
        <v>0.22044182849028043</v>
      </c>
      <c r="J20" s="14">
        <f>I20/H20</f>
        <v>5.025704263966678</v>
      </c>
    </row>
    <row r="21" spans="1:10" x14ac:dyDescent="0.25">
      <c r="A21" s="11" t="s">
        <v>13</v>
      </c>
      <c r="B21" s="12">
        <f>1/F17</f>
        <v>1</v>
      </c>
      <c r="C21" s="12">
        <f>1/F18</f>
        <v>3</v>
      </c>
      <c r="D21" s="12">
        <f>1/F19</f>
        <v>1</v>
      </c>
      <c r="E21" s="12">
        <f>1/F20</f>
        <v>6</v>
      </c>
      <c r="F21" s="12">
        <v>1</v>
      </c>
      <c r="G21" s="14">
        <f>GEOMEAN(B21:F21)</f>
        <v>1.7826024579660034</v>
      </c>
      <c r="H21" s="14">
        <f>G21/SUM($G$17:$G$21)</f>
        <v>0.27991556068657331</v>
      </c>
      <c r="I21" s="14">
        <f>B21*$H$17+C21*$H$18+D21*$H$19+E21*$H$20+F21*$H$21</f>
        <v>1.405924739412207</v>
      </c>
      <c r="J21" s="14">
        <f>I21/H21</f>
        <v>5.0226744664132736</v>
      </c>
    </row>
    <row r="22" spans="1:10" x14ac:dyDescent="0.25">
      <c r="A22" s="15" t="s">
        <v>76</v>
      </c>
      <c r="B22" s="14">
        <f>AVERAGE(J17:J21)</f>
        <v>5.0620177799653998</v>
      </c>
    </row>
    <row r="23" spans="1:10" x14ac:dyDescent="0.25">
      <c r="A23" s="15" t="s">
        <v>77</v>
      </c>
      <c r="B23" s="16">
        <f>(B22-5)/(5-1)</f>
        <v>1.5504444991349953E-2</v>
      </c>
    </row>
    <row r="24" spans="1:10" ht="30" x14ac:dyDescent="0.25">
      <c r="A24" s="15" t="s">
        <v>78</v>
      </c>
      <c r="B24" s="17">
        <f>B23/'Концепции и критерии'!$C$38</f>
        <v>1.3843254456562457E-2</v>
      </c>
      <c r="C24" s="32" t="str">
        <f>IF(B24&lt;=0.1,"согласована (ОС ≤ 10%)","требует пересмотра")</f>
        <v>согласована (ОС ≤ 10%)</v>
      </c>
      <c r="D24" s="32"/>
    </row>
    <row r="26" spans="1:10" x14ac:dyDescent="0.25">
      <c r="A26" s="30" t="s">
        <v>80</v>
      </c>
      <c r="B26" s="31"/>
      <c r="C26" s="31"/>
      <c r="D26" s="31"/>
      <c r="E26" s="31"/>
      <c r="F26" s="31"/>
      <c r="G26" s="31"/>
      <c r="H26" s="31"/>
      <c r="I26" s="31"/>
      <c r="J26" s="31"/>
    </row>
    <row r="27" spans="1:10" ht="32.1" customHeight="1" x14ac:dyDescent="0.25">
      <c r="A27" s="10" t="s">
        <v>89</v>
      </c>
      <c r="B27" s="10" t="s">
        <v>9</v>
      </c>
      <c r="C27" s="10" t="s">
        <v>10</v>
      </c>
      <c r="D27" s="10" t="s">
        <v>11</v>
      </c>
      <c r="E27" s="10" t="s">
        <v>12</v>
      </c>
      <c r="F27" s="10" t="s">
        <v>13</v>
      </c>
      <c r="G27" s="10" t="s">
        <v>72</v>
      </c>
      <c r="H27" s="10" t="s">
        <v>73</v>
      </c>
      <c r="I27" s="10" t="s">
        <v>74</v>
      </c>
      <c r="J27" s="10" t="s">
        <v>75</v>
      </c>
    </row>
    <row r="28" spans="1:10" x14ac:dyDescent="0.25">
      <c r="A28" s="11" t="s">
        <v>9</v>
      </c>
      <c r="B28" s="12">
        <v>1</v>
      </c>
      <c r="C28" s="13">
        <v>3</v>
      </c>
      <c r="D28" s="13">
        <v>2</v>
      </c>
      <c r="E28" s="13">
        <v>3</v>
      </c>
      <c r="F28" s="13">
        <v>1</v>
      </c>
      <c r="G28" s="14">
        <f>GEOMEAN(B28:F28)</f>
        <v>1.7826024579660034</v>
      </c>
      <c r="H28" s="14">
        <f>G28/SUM($G$28:$G$32)</f>
        <v>0.31463379000322661</v>
      </c>
      <c r="I28" s="14">
        <f>B28*$H$28+C28*$H$29+D28*$H$30+E28*$H$31+F28*$H$32</f>
        <v>1.5877316748429462</v>
      </c>
      <c r="J28" s="14">
        <f>I28/H28</f>
        <v>5.0462846817141411</v>
      </c>
    </row>
    <row r="29" spans="1:10" x14ac:dyDescent="0.25">
      <c r="A29" s="11" t="s">
        <v>10</v>
      </c>
      <c r="B29" s="12">
        <f>1/C28</f>
        <v>0.33333333333333331</v>
      </c>
      <c r="C29" s="12">
        <v>1</v>
      </c>
      <c r="D29" s="13">
        <f>1/2</f>
        <v>0.5</v>
      </c>
      <c r="E29" s="13">
        <v>1</v>
      </c>
      <c r="F29" s="13">
        <f>1/3</f>
        <v>0.33333333333333331</v>
      </c>
      <c r="G29" s="14">
        <f>GEOMEAN(B29:F29)</f>
        <v>0.56097757272309978</v>
      </c>
      <c r="H29" s="14">
        <f>G29/SUM($G$28:$G$32)</f>
        <v>9.901394392447635E-2</v>
      </c>
      <c r="I29" s="14">
        <f>B29*$H$28+C29*$H$29+D29*$H$30+E29*$H$31+F29*$H$32</f>
        <v>0.49545253641636705</v>
      </c>
      <c r="J29" s="14">
        <f>I29/H29</f>
        <v>5.0038662917444974</v>
      </c>
    </row>
    <row r="30" spans="1:10" x14ac:dyDescent="0.25">
      <c r="A30" s="11" t="s">
        <v>11</v>
      </c>
      <c r="B30" s="12">
        <f>1/D28</f>
        <v>0.5</v>
      </c>
      <c r="C30" s="12">
        <f>1/D29</f>
        <v>2</v>
      </c>
      <c r="D30" s="12">
        <v>1</v>
      </c>
      <c r="E30" s="13">
        <v>2</v>
      </c>
      <c r="F30" s="13">
        <v>1</v>
      </c>
      <c r="G30" s="14">
        <f>GEOMEAN(B30:F30)</f>
        <v>1.1486983549970351</v>
      </c>
      <c r="H30" s="14">
        <f>G30/SUM($G$28:$G$32)</f>
        <v>0.2027481311876895</v>
      </c>
      <c r="I30" s="14">
        <f>B30*$H$28+C30*$H$29+D30*$H$30+E30*$H$31+F30*$H$32</f>
        <v>1.0351748768260149</v>
      </c>
      <c r="J30" s="14">
        <f>I30/H30</f>
        <v>5.1057184634058359</v>
      </c>
    </row>
    <row r="31" spans="1:10" x14ac:dyDescent="0.25">
      <c r="A31" s="11" t="s">
        <v>12</v>
      </c>
      <c r="B31" s="12">
        <f>1/E28</f>
        <v>0.33333333333333331</v>
      </c>
      <c r="C31" s="12">
        <f>1/E29</f>
        <v>1</v>
      </c>
      <c r="D31" s="12">
        <f>1/E30</f>
        <v>0.5</v>
      </c>
      <c r="E31" s="12">
        <v>1</v>
      </c>
      <c r="F31" s="13">
        <f>1/4</f>
        <v>0.25</v>
      </c>
      <c r="G31" s="14">
        <f>GEOMEAN(B31:F31)</f>
        <v>0.52961192052440609</v>
      </c>
      <c r="H31" s="14">
        <f>G31/SUM($G$28:$G$32)</f>
        <v>9.3477827903151844E-2</v>
      </c>
      <c r="I31" s="14">
        <f>B31*$H$28+C31*$H$29+D31*$H$30+E31*$H$31+F31*$H$32</f>
        <v>0.47127534416791239</v>
      </c>
      <c r="J31" s="14">
        <f>I31/H31</f>
        <v>5.0415735446503902</v>
      </c>
    </row>
    <row r="32" spans="1:10" x14ac:dyDescent="0.25">
      <c r="A32" s="11" t="s">
        <v>13</v>
      </c>
      <c r="B32" s="12">
        <f>1/F28</f>
        <v>1</v>
      </c>
      <c r="C32" s="12">
        <f>1/F29</f>
        <v>3</v>
      </c>
      <c r="D32" s="12">
        <f>1/F30</f>
        <v>1</v>
      </c>
      <c r="E32" s="12">
        <f>1/F31</f>
        <v>4</v>
      </c>
      <c r="F32" s="12">
        <v>1</v>
      </c>
      <c r="G32" s="14">
        <f>GEOMEAN(B32:F32)</f>
        <v>1.6437518295172258</v>
      </c>
      <c r="H32" s="14">
        <f>G32/SUM($G$28:$G$32)</f>
        <v>0.29012630698145581</v>
      </c>
      <c r="I32" s="14">
        <f>B32*$H$28+C32*$H$29+D32*$H$30+E32*$H$31+F32*$H$32</f>
        <v>1.4784613715584083</v>
      </c>
      <c r="J32" s="14">
        <f>I32/H32</f>
        <v>5.0959231754633958</v>
      </c>
    </row>
    <row r="33" spans="1:10" x14ac:dyDescent="0.25">
      <c r="A33" s="15" t="s">
        <v>76</v>
      </c>
      <c r="B33" s="14">
        <f>AVERAGE(J28:J32)</f>
        <v>5.0586732313956517</v>
      </c>
    </row>
    <row r="34" spans="1:10" x14ac:dyDescent="0.25">
      <c r="A34" s="15" t="s">
        <v>77</v>
      </c>
      <c r="B34" s="16">
        <f>(B33-5)/(5-1)</f>
        <v>1.4668307848912931E-2</v>
      </c>
    </row>
    <row r="35" spans="1:10" ht="30" x14ac:dyDescent="0.25">
      <c r="A35" s="15" t="s">
        <v>78</v>
      </c>
      <c r="B35" s="17">
        <f>B34/'Концепции и критерии'!$C$38</f>
        <v>1.3096703436529402E-2</v>
      </c>
      <c r="C35" s="32" t="str">
        <f>IF(B35&lt;=0.1,"согласована (ОС ≤ 10%)","требует пересмотра")</f>
        <v>согласована (ОС ≤ 10%)</v>
      </c>
      <c r="D35" s="32"/>
    </row>
    <row r="37" spans="1:10" x14ac:dyDescent="0.25">
      <c r="A37" s="30" t="s">
        <v>81</v>
      </c>
      <c r="B37" s="31"/>
      <c r="C37" s="31"/>
      <c r="D37" s="31"/>
      <c r="E37" s="31"/>
      <c r="F37" s="31"/>
      <c r="G37" s="31"/>
      <c r="H37" s="31"/>
      <c r="I37" s="31"/>
      <c r="J37" s="31"/>
    </row>
    <row r="38" spans="1:10" ht="32.1" customHeight="1" x14ac:dyDescent="0.25">
      <c r="A38" s="10" t="s">
        <v>89</v>
      </c>
      <c r="B38" s="10" t="s">
        <v>9</v>
      </c>
      <c r="C38" s="10" t="s">
        <v>10</v>
      </c>
      <c r="D38" s="10" t="s">
        <v>11</v>
      </c>
      <c r="E38" s="10" t="s">
        <v>12</v>
      </c>
      <c r="F38" s="10" t="s">
        <v>13</v>
      </c>
      <c r="G38" s="10" t="s">
        <v>72</v>
      </c>
      <c r="H38" s="10" t="s">
        <v>73</v>
      </c>
      <c r="I38" s="10" t="s">
        <v>74</v>
      </c>
      <c r="J38" s="10" t="s">
        <v>75</v>
      </c>
    </row>
    <row r="39" spans="1:10" x14ac:dyDescent="0.25">
      <c r="A39" s="11" t="s">
        <v>9</v>
      </c>
      <c r="B39" s="14">
        <f t="shared" ref="B39:F43" si="0">GEOMEAN(B6,B17,B28)</f>
        <v>1</v>
      </c>
      <c r="C39" s="14">
        <f t="shared" si="0"/>
        <v>3.3019272488946267</v>
      </c>
      <c r="D39" s="14">
        <f t="shared" si="0"/>
        <v>2</v>
      </c>
      <c r="E39" s="14">
        <f t="shared" si="0"/>
        <v>5.738793548317167</v>
      </c>
      <c r="F39" s="14">
        <f t="shared" si="0"/>
        <v>1</v>
      </c>
      <c r="G39" s="14">
        <f>GEOMEAN(B39:F39)</f>
        <v>2.0688243512521387</v>
      </c>
      <c r="H39" s="18">
        <f>G39/SUM($G$39:$G$43)</f>
        <v>0.33755689169860703</v>
      </c>
      <c r="I39" s="14">
        <f>B39*$H$39+C39*$H$40+D39*$H$41+E39*$H$42+F39*$H$43</f>
        <v>1.7027159796973588</v>
      </c>
      <c r="J39" s="14">
        <f>I39/H39</f>
        <v>5.0442340878575678</v>
      </c>
    </row>
    <row r="40" spans="1:10" x14ac:dyDescent="0.25">
      <c r="A40" s="11" t="s">
        <v>10</v>
      </c>
      <c r="B40" s="14">
        <f t="shared" si="0"/>
        <v>0.30285343213868993</v>
      </c>
      <c r="C40" s="14">
        <f t="shared" si="0"/>
        <v>1</v>
      </c>
      <c r="D40" s="14">
        <f t="shared" si="0"/>
        <v>0.38157141418444396</v>
      </c>
      <c r="E40" s="14">
        <f t="shared" si="0"/>
        <v>1.5874010519681994</v>
      </c>
      <c r="F40" s="14">
        <f t="shared" si="0"/>
        <v>0.33333333333333331</v>
      </c>
      <c r="G40" s="14">
        <f>GEOMEAN(B40:F40)</f>
        <v>0.57184028606987058</v>
      </c>
      <c r="H40" s="18">
        <f>G40/SUM($G$39:$G$43)</f>
        <v>9.3303537053282842E-2</v>
      </c>
      <c r="I40" s="14">
        <f>B40*$H$39+C40*$H$40+D40*$H$41+E40*$H$42+F40*$H$43</f>
        <v>0.46783301557432361</v>
      </c>
      <c r="J40" s="14">
        <f>I40/H40</f>
        <v>5.0140973252402876</v>
      </c>
    </row>
    <row r="41" spans="1:10" x14ac:dyDescent="0.25">
      <c r="A41" s="11" t="s">
        <v>11</v>
      </c>
      <c r="B41" s="14">
        <f t="shared" si="0"/>
        <v>0.5</v>
      </c>
      <c r="C41" s="14">
        <f t="shared" si="0"/>
        <v>2.6207413942088964</v>
      </c>
      <c r="D41" s="14">
        <f t="shared" si="0"/>
        <v>1</v>
      </c>
      <c r="E41" s="14">
        <f t="shared" si="0"/>
        <v>3.8258623655447779</v>
      </c>
      <c r="F41" s="14">
        <f t="shared" si="0"/>
        <v>0.79370052598409979</v>
      </c>
      <c r="G41" s="14">
        <f>GEOMEAN(B41:F41)</f>
        <v>1.3181232989720333</v>
      </c>
      <c r="H41" s="18">
        <f>G41/SUM($G$39:$G$43)</f>
        <v>0.21506978270398647</v>
      </c>
      <c r="I41" s="14">
        <f>B41*$H$39+C41*$H$40+D41*$H$41+E41*$H$42+F41*$H$43</f>
        <v>1.0839953717401432</v>
      </c>
      <c r="J41" s="14">
        <f>I41/H41</f>
        <v>5.0402030360169725</v>
      </c>
    </row>
    <row r="42" spans="1:10" x14ac:dyDescent="0.25">
      <c r="A42" s="11" t="s">
        <v>12</v>
      </c>
      <c r="B42" s="14">
        <f t="shared" si="0"/>
        <v>0.17425265285823674</v>
      </c>
      <c r="C42" s="14">
        <f t="shared" si="0"/>
        <v>0.6299605249474366</v>
      </c>
      <c r="D42" s="14">
        <f t="shared" si="0"/>
        <v>0.2613789792873551</v>
      </c>
      <c r="E42" s="14">
        <f t="shared" si="0"/>
        <v>1</v>
      </c>
      <c r="F42" s="14">
        <f t="shared" si="0"/>
        <v>0.19078570709222198</v>
      </c>
      <c r="G42" s="14">
        <f>GEOMEAN(B42:F42)</f>
        <v>0.35290827814351194</v>
      </c>
      <c r="H42" s="18">
        <f>G42/SUM($G$39:$G$43)</f>
        <v>5.7581795841068359E-2</v>
      </c>
      <c r="I42" s="14">
        <f>B42*$H$39+C42*$H$40+D42*$H$41+E42*$H$42+F42*$H$43</f>
        <v>0.287959916502597</v>
      </c>
      <c r="J42" s="14">
        <f>I42/H42</f>
        <v>5.0008846076526652</v>
      </c>
    </row>
    <row r="43" spans="1:10" x14ac:dyDescent="0.25">
      <c r="A43" s="11" t="s">
        <v>13</v>
      </c>
      <c r="B43" s="14">
        <f t="shared" si="0"/>
        <v>1</v>
      </c>
      <c r="C43" s="14">
        <f t="shared" si="0"/>
        <v>3</v>
      </c>
      <c r="D43" s="14">
        <f t="shared" si="0"/>
        <v>1.2599210498948732</v>
      </c>
      <c r="E43" s="14">
        <f t="shared" si="0"/>
        <v>5.2414827884177928</v>
      </c>
      <c r="F43" s="14">
        <f t="shared" si="0"/>
        <v>1</v>
      </c>
      <c r="G43" s="14">
        <f>GEOMEAN(B43:F43)</f>
        <v>1.8171205928321397</v>
      </c>
      <c r="H43" s="18">
        <f>G43/SUM($G$39:$G$43)</f>
        <v>0.29648799270305526</v>
      </c>
      <c r="I43" s="14">
        <f>B43*$H$39+C43*$H$40+D43*$H$41+E43*$H$42+F43*$H$43</f>
        <v>1.4867404338137267</v>
      </c>
      <c r="J43" s="14">
        <f>I43/H43</f>
        <v>5.0145047030715926</v>
      </c>
    </row>
    <row r="44" spans="1:10" x14ac:dyDescent="0.25">
      <c r="A44" s="15" t="s">
        <v>76</v>
      </c>
      <c r="B44" s="14">
        <f>AVERAGE(J39:J43)</f>
        <v>5.0227847519678175</v>
      </c>
    </row>
    <row r="45" spans="1:10" x14ac:dyDescent="0.25">
      <c r="A45" s="15" t="s">
        <v>77</v>
      </c>
      <c r="B45" s="16">
        <f>(B44-5)/(5-1)</f>
        <v>5.6961879919543712E-3</v>
      </c>
    </row>
    <row r="46" spans="1:10" ht="30" x14ac:dyDescent="0.25">
      <c r="A46" s="15" t="s">
        <v>78</v>
      </c>
      <c r="B46" s="17">
        <f>B45/'Концепции и критерии'!$C$38</f>
        <v>5.0858821356735452E-3</v>
      </c>
      <c r="C46" s="32" t="str">
        <f>IF(B46&lt;=0.1,"согласована (ОС ≤ 10%)","требует пересмотра")</f>
        <v>согласована (ОС ≤ 10%)</v>
      </c>
      <c r="D46" s="32"/>
    </row>
  </sheetData>
  <mergeCells count="10">
    <mergeCell ref="A1:J1"/>
    <mergeCell ref="A37:J37"/>
    <mergeCell ref="C46:D46"/>
    <mergeCell ref="C24:D24"/>
    <mergeCell ref="A15:J15"/>
    <mergeCell ref="A4:J4"/>
    <mergeCell ref="C13:D13"/>
    <mergeCell ref="A26:J26"/>
    <mergeCell ref="A2:J2"/>
    <mergeCell ref="C35:D3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46"/>
  <sheetViews>
    <sheetView topLeftCell="A16" workbookViewId="0">
      <selection sqref="A1:J1"/>
    </sheetView>
  </sheetViews>
  <sheetFormatPr defaultColWidth="8.85546875" defaultRowHeight="15" x14ac:dyDescent="0.25"/>
  <cols>
    <col min="1" max="1" width="30" customWidth="1"/>
    <col min="2" max="29" width="12.42578125" customWidth="1"/>
  </cols>
  <sheetData>
    <row r="1" spans="1:10" ht="21.95" customHeight="1" x14ac:dyDescent="0.25">
      <c r="A1" s="27" t="s">
        <v>90</v>
      </c>
      <c r="B1" s="28"/>
      <c r="C1" s="28"/>
      <c r="D1" s="28"/>
      <c r="E1" s="28"/>
      <c r="F1" s="28"/>
      <c r="G1" s="28"/>
      <c r="H1" s="28"/>
      <c r="I1" s="28"/>
      <c r="J1" s="28"/>
    </row>
    <row r="2" spans="1:10" ht="30" customHeight="1" x14ac:dyDescent="0.25">
      <c r="A2" s="29" t="s">
        <v>70</v>
      </c>
      <c r="B2" s="28"/>
      <c r="C2" s="28"/>
      <c r="D2" s="28"/>
      <c r="E2" s="28"/>
      <c r="F2" s="28"/>
      <c r="G2" s="28"/>
      <c r="H2" s="28"/>
      <c r="I2" s="28"/>
      <c r="J2" s="28"/>
    </row>
    <row r="4" spans="1:10" x14ac:dyDescent="0.25">
      <c r="A4" s="30" t="s">
        <v>71</v>
      </c>
      <c r="B4" s="31"/>
      <c r="C4" s="31"/>
      <c r="D4" s="31"/>
      <c r="E4" s="31"/>
      <c r="F4" s="31"/>
      <c r="G4" s="31"/>
      <c r="H4" s="31"/>
      <c r="I4" s="31"/>
      <c r="J4" s="31"/>
    </row>
    <row r="5" spans="1:10" ht="32.1" customHeight="1" x14ac:dyDescent="0.25">
      <c r="A5" s="10" t="s">
        <v>91</v>
      </c>
      <c r="B5" s="10" t="s">
        <v>9</v>
      </c>
      <c r="C5" s="10" t="s">
        <v>10</v>
      </c>
      <c r="D5" s="10" t="s">
        <v>11</v>
      </c>
      <c r="E5" s="10" t="s">
        <v>12</v>
      </c>
      <c r="F5" s="10" t="s">
        <v>13</v>
      </c>
      <c r="G5" s="10" t="s">
        <v>72</v>
      </c>
      <c r="H5" s="10" t="s">
        <v>73</v>
      </c>
      <c r="I5" s="10" t="s">
        <v>74</v>
      </c>
      <c r="J5" s="10" t="s">
        <v>75</v>
      </c>
    </row>
    <row r="6" spans="1:10" x14ac:dyDescent="0.25">
      <c r="A6" s="11" t="s">
        <v>9</v>
      </c>
      <c r="B6" s="12">
        <v>1</v>
      </c>
      <c r="C6" s="13">
        <v>2</v>
      </c>
      <c r="D6" s="13">
        <v>1</v>
      </c>
      <c r="E6" s="13">
        <v>4</v>
      </c>
      <c r="F6" s="13">
        <v>1</v>
      </c>
      <c r="G6" s="14">
        <f>GEOMEAN(B6:F6)</f>
        <v>1.515716566510398</v>
      </c>
      <c r="H6" s="14">
        <f>G6/SUM($G$6:$G$10)</f>
        <v>0.27603286096457946</v>
      </c>
      <c r="I6" s="14">
        <f>B6*$H$6+C6*$H$7+D6*$H$8+E6*$H$9+F6*$H$10</f>
        <v>1.4340065965404414</v>
      </c>
      <c r="J6" s="14">
        <f>I6/H6</f>
        <v>5.1950575432555226</v>
      </c>
    </row>
    <row r="7" spans="1:10" x14ac:dyDescent="0.25">
      <c r="A7" s="11" t="s">
        <v>10</v>
      </c>
      <c r="B7" s="12">
        <f>1/C6</f>
        <v>0.5</v>
      </c>
      <c r="C7" s="12">
        <v>1</v>
      </c>
      <c r="D7" s="13">
        <f>1/2</f>
        <v>0.5</v>
      </c>
      <c r="E7" s="13">
        <v>2</v>
      </c>
      <c r="F7" s="13">
        <v>2</v>
      </c>
      <c r="G7" s="14">
        <f>GEOMEAN(B7:F7)</f>
        <v>1</v>
      </c>
      <c r="H7" s="14">
        <f>G7/SUM($G$6:$G$10)</f>
        <v>0.18211377183801852</v>
      </c>
      <c r="I7" s="14">
        <f>B7*$H$6+C7*$H$7+D7*$H$8+E7*$H$9+F7*$H$10</f>
        <v>0.954812168256574</v>
      </c>
      <c r="J7" s="14">
        <f>I7/H7</f>
        <v>5.2429432360877888</v>
      </c>
    </row>
    <row r="8" spans="1:10" x14ac:dyDescent="0.25">
      <c r="A8" s="11" t="s">
        <v>11</v>
      </c>
      <c r="B8" s="12">
        <f>1/D6</f>
        <v>1</v>
      </c>
      <c r="C8" s="12">
        <f>1/D7</f>
        <v>2</v>
      </c>
      <c r="D8" s="12">
        <v>1</v>
      </c>
      <c r="E8" s="13">
        <v>3</v>
      </c>
      <c r="F8" s="13">
        <v>2</v>
      </c>
      <c r="G8" s="14">
        <f>GEOMEAN(B8:F8)</f>
        <v>1.6437518295172258</v>
      </c>
      <c r="H8" s="14">
        <f>G8/SUM($G$6:$G$10)</f>
        <v>0.29934984563902561</v>
      </c>
      <c r="I8" s="14">
        <f>B8*$H$6+C8*$H$7+D8*$H$8+E8*$H$9+F8*$H$10</f>
        <v>1.5085815682972026</v>
      </c>
      <c r="J8" s="14">
        <f>I8/H8</f>
        <v>5.039526795401601</v>
      </c>
    </row>
    <row r="9" spans="1:10" x14ac:dyDescent="0.25">
      <c r="A9" s="11" t="s">
        <v>12</v>
      </c>
      <c r="B9" s="12">
        <f>1/E6</f>
        <v>0.25</v>
      </c>
      <c r="C9" s="12">
        <f>1/E7</f>
        <v>0.5</v>
      </c>
      <c r="D9" s="12">
        <f>1/E8</f>
        <v>0.33333333333333331</v>
      </c>
      <c r="E9" s="12">
        <v>1</v>
      </c>
      <c r="F9" s="13">
        <f>1/2</f>
        <v>0.5</v>
      </c>
      <c r="G9" s="14">
        <f>GEOMEAN(B9:F9)</f>
        <v>0.46105395574086389</v>
      </c>
      <c r="H9" s="14">
        <f>G9/SUM($G$6:$G$10)</f>
        <v>8.3964274900807587E-2</v>
      </c>
      <c r="I9" s="14">
        <f>B9*$H$6+C9*$H$7+D9*$H$8+E9*$H$9+F9*$H$10</f>
        <v>0.42308228126942138</v>
      </c>
      <c r="J9" s="14">
        <f>I9/H9</f>
        <v>5.038836835895216</v>
      </c>
    </row>
    <row r="10" spans="1:10" x14ac:dyDescent="0.25">
      <c r="A10" s="11" t="s">
        <v>13</v>
      </c>
      <c r="B10" s="12">
        <f>1/F6</f>
        <v>1</v>
      </c>
      <c r="C10" s="12">
        <f>1/F7</f>
        <v>0.5</v>
      </c>
      <c r="D10" s="12">
        <f>1/F8</f>
        <v>0.5</v>
      </c>
      <c r="E10" s="12">
        <f>1/F9</f>
        <v>2</v>
      </c>
      <c r="F10" s="12">
        <v>1</v>
      </c>
      <c r="G10" s="14">
        <f>GEOMEAN(B10:F10)</f>
        <v>0.87055056329612412</v>
      </c>
      <c r="H10" s="14">
        <f>G10/SUM($G$6:$G$10)</f>
        <v>0.15853924665756886</v>
      </c>
      <c r="I10" s="14">
        <f>B10*$H$6+C10*$H$7+D10*$H$8+E10*$H$9+F10*$H$10</f>
        <v>0.84323246616228564</v>
      </c>
      <c r="J10" s="14">
        <f>I10/H10</f>
        <v>5.3187616564344804</v>
      </c>
    </row>
    <row r="11" spans="1:10" x14ac:dyDescent="0.25">
      <c r="A11" s="15" t="s">
        <v>76</v>
      </c>
      <c r="B11" s="14">
        <f>AVERAGE(J6:J10)</f>
        <v>5.1670252134149219</v>
      </c>
    </row>
    <row r="12" spans="1:10" x14ac:dyDescent="0.25">
      <c r="A12" s="15" t="s">
        <v>77</v>
      </c>
      <c r="B12" s="16">
        <f>(B11-5)/(5-1)</f>
        <v>4.1756303353730484E-2</v>
      </c>
    </row>
    <row r="13" spans="1:10" ht="30" x14ac:dyDescent="0.25">
      <c r="A13" s="15" t="s">
        <v>78</v>
      </c>
      <c r="B13" s="17">
        <f>B12/'Концепции и критерии'!$C$38</f>
        <v>3.7282413708687928E-2</v>
      </c>
      <c r="C13" s="32" t="str">
        <f>IF(B13&lt;=0.1,"согласована (ОС ≤ 10%)","требует пересмотра")</f>
        <v>согласована (ОС ≤ 10%)</v>
      </c>
      <c r="D13" s="32"/>
    </row>
    <row r="15" spans="1:10" x14ac:dyDescent="0.25">
      <c r="A15" s="30" t="s">
        <v>79</v>
      </c>
      <c r="B15" s="31"/>
      <c r="C15" s="31"/>
      <c r="D15" s="31"/>
      <c r="E15" s="31"/>
      <c r="F15" s="31"/>
      <c r="G15" s="31"/>
      <c r="H15" s="31"/>
      <c r="I15" s="31"/>
      <c r="J15" s="31"/>
    </row>
    <row r="16" spans="1:10" ht="32.1" customHeight="1" x14ac:dyDescent="0.25">
      <c r="A16" s="10" t="s">
        <v>91</v>
      </c>
      <c r="B16" s="10" t="s">
        <v>9</v>
      </c>
      <c r="C16" s="10" t="s">
        <v>10</v>
      </c>
      <c r="D16" s="10" t="s">
        <v>11</v>
      </c>
      <c r="E16" s="10" t="s">
        <v>12</v>
      </c>
      <c r="F16" s="10" t="s">
        <v>13</v>
      </c>
      <c r="G16" s="10" t="s">
        <v>72</v>
      </c>
      <c r="H16" s="10" t="s">
        <v>73</v>
      </c>
      <c r="I16" s="10" t="s">
        <v>74</v>
      </c>
      <c r="J16" s="10" t="s">
        <v>75</v>
      </c>
    </row>
    <row r="17" spans="1:10" x14ac:dyDescent="0.25">
      <c r="A17" s="11" t="s">
        <v>9</v>
      </c>
      <c r="B17" s="12">
        <v>1</v>
      </c>
      <c r="C17" s="13">
        <v>2</v>
      </c>
      <c r="D17" s="13">
        <v>1</v>
      </c>
      <c r="E17" s="13">
        <v>5</v>
      </c>
      <c r="F17" s="13">
        <v>2</v>
      </c>
      <c r="G17" s="14">
        <f>GEOMEAN(B17:F17)</f>
        <v>1.8205642030260802</v>
      </c>
      <c r="H17" s="14">
        <f>G17/SUM($G$17:$G$21)</f>
        <v>0.30171354228129527</v>
      </c>
      <c r="I17" s="14">
        <f>B17*$H$17+C17*$H$18+D17*$H$19+E17*$H$20+F17*$H$21</f>
        <v>1.5592407176538663</v>
      </c>
      <c r="J17" s="14">
        <f>I17/H17</f>
        <v>5.1679507186327962</v>
      </c>
    </row>
    <row r="18" spans="1:10" x14ac:dyDescent="0.25">
      <c r="A18" s="11" t="s">
        <v>10</v>
      </c>
      <c r="B18" s="12">
        <f>1/C17</f>
        <v>0.5</v>
      </c>
      <c r="C18" s="12">
        <v>1</v>
      </c>
      <c r="D18" s="13">
        <f>1/2</f>
        <v>0.5</v>
      </c>
      <c r="E18" s="13">
        <v>4</v>
      </c>
      <c r="F18" s="13">
        <f>1/2</f>
        <v>0.5</v>
      </c>
      <c r="G18" s="14">
        <f>GEOMEAN(B18:F18)</f>
        <v>0.87055056329612412</v>
      </c>
      <c r="H18" s="14">
        <f>G18/SUM($G$17:$G$21)</f>
        <v>0.14427225019061188</v>
      </c>
      <c r="I18" s="14">
        <f>B18*$H$17+C18*$H$18+D18*$H$19+E18*$H$20+F18*$H$21</f>
        <v>0.72772923082619145</v>
      </c>
      <c r="J18" s="14">
        <f>I18/H18</f>
        <v>5.0441386327912587</v>
      </c>
    </row>
    <row r="19" spans="1:10" x14ac:dyDescent="0.25">
      <c r="A19" s="11" t="s">
        <v>11</v>
      </c>
      <c r="B19" s="12">
        <f>1/D17</f>
        <v>1</v>
      </c>
      <c r="C19" s="12">
        <f>1/D18</f>
        <v>2</v>
      </c>
      <c r="D19" s="12">
        <v>1</v>
      </c>
      <c r="E19" s="13">
        <v>6</v>
      </c>
      <c r="F19" s="13">
        <v>1</v>
      </c>
      <c r="G19" s="14">
        <f>GEOMEAN(B19:F19)</f>
        <v>1.6437518295172258</v>
      </c>
      <c r="H19" s="14">
        <f>G19/SUM($G$17:$G$21)</f>
        <v>0.2724112592627404</v>
      </c>
      <c r="I19" s="14">
        <f>B19*$H$17+C19*$H$18+D19*$H$19+E19*$H$20+F19*$H$21</f>
        <v>1.3665481155204482</v>
      </c>
      <c r="J19" s="14">
        <f>I19/H19</f>
        <v>5.0164891099542031</v>
      </c>
    </row>
    <row r="20" spans="1:10" x14ac:dyDescent="0.25">
      <c r="A20" s="11" t="s">
        <v>12</v>
      </c>
      <c r="B20" s="12">
        <f>1/E17</f>
        <v>0.2</v>
      </c>
      <c r="C20" s="12">
        <f>1/E18</f>
        <v>0.25</v>
      </c>
      <c r="D20" s="12">
        <f>1/E19</f>
        <v>0.16666666666666666</v>
      </c>
      <c r="E20" s="12">
        <v>1</v>
      </c>
      <c r="F20" s="13">
        <f>1/6</f>
        <v>0.16666666666666666</v>
      </c>
      <c r="G20" s="14">
        <f>GEOMEAN(B20:F20)</f>
        <v>0.26824615199994184</v>
      </c>
      <c r="H20" s="14">
        <f>G20/SUM($G$17:$G$21)</f>
        <v>4.4455173065967288E-2</v>
      </c>
      <c r="I20" s="14">
        <f>B20*$H$17+C20*$H$18+D20*$H$19+E20*$H$20+F20*$H$21</f>
        <v>0.22579244981356689</v>
      </c>
      <c r="J20" s="14">
        <f>I20/H20</f>
        <v>5.0791040556407729</v>
      </c>
    </row>
    <row r="21" spans="1:10" x14ac:dyDescent="0.25">
      <c r="A21" s="11" t="s">
        <v>13</v>
      </c>
      <c r="B21" s="12">
        <f>1/F17</f>
        <v>0.5</v>
      </c>
      <c r="C21" s="12">
        <f>1/F18</f>
        <v>2</v>
      </c>
      <c r="D21" s="12">
        <f>1/F19</f>
        <v>1</v>
      </c>
      <c r="E21" s="12">
        <f>1/F20</f>
        <v>6</v>
      </c>
      <c r="F21" s="12">
        <v>1</v>
      </c>
      <c r="G21" s="14">
        <f>GEOMEAN(B21:F21)</f>
        <v>1.4309690811052556</v>
      </c>
      <c r="H21" s="14">
        <f>G21/SUM($G$17:$G$21)</f>
        <v>0.23714777519938521</v>
      </c>
      <c r="I21" s="14">
        <f>B21*$H$17+C21*$H$18+D21*$H$19+E21*$H$20+F21*$H$21</f>
        <v>1.2156913443798005</v>
      </c>
      <c r="J21" s="14">
        <f>I21/H21</f>
        <v>5.1263029701952361</v>
      </c>
    </row>
    <row r="22" spans="1:10" x14ac:dyDescent="0.25">
      <c r="A22" s="15" t="s">
        <v>76</v>
      </c>
      <c r="B22" s="14">
        <f>AVERAGE(J17:J21)</f>
        <v>5.0867970974428536</v>
      </c>
    </row>
    <row r="23" spans="1:10" x14ac:dyDescent="0.25">
      <c r="A23" s="15" t="s">
        <v>77</v>
      </c>
      <c r="B23" s="16">
        <f>(B22-5)/(5-1)</f>
        <v>2.1699274360713394E-2</v>
      </c>
    </row>
    <row r="24" spans="1:10" ht="30" x14ac:dyDescent="0.25">
      <c r="A24" s="15" t="s">
        <v>78</v>
      </c>
      <c r="B24" s="17">
        <f>B23/'Концепции и критерии'!$C$38</f>
        <v>1.9374352107779814E-2</v>
      </c>
      <c r="C24" s="32" t="str">
        <f>IF(B24&lt;=0.1,"согласована (ОС ≤ 10%)","требует пересмотра")</f>
        <v>согласована (ОС ≤ 10%)</v>
      </c>
      <c r="D24" s="32"/>
    </row>
    <row r="26" spans="1:10" x14ac:dyDescent="0.25">
      <c r="A26" s="30" t="s">
        <v>80</v>
      </c>
      <c r="B26" s="31"/>
      <c r="C26" s="31"/>
      <c r="D26" s="31"/>
      <c r="E26" s="31"/>
      <c r="F26" s="31"/>
      <c r="G26" s="31"/>
      <c r="H26" s="31"/>
      <c r="I26" s="31"/>
      <c r="J26" s="31"/>
    </row>
    <row r="27" spans="1:10" ht="32.1" customHeight="1" x14ac:dyDescent="0.25">
      <c r="A27" s="10" t="s">
        <v>91</v>
      </c>
      <c r="B27" s="10" t="s">
        <v>9</v>
      </c>
      <c r="C27" s="10" t="s">
        <v>10</v>
      </c>
      <c r="D27" s="10" t="s">
        <v>11</v>
      </c>
      <c r="E27" s="10" t="s">
        <v>12</v>
      </c>
      <c r="F27" s="10" t="s">
        <v>13</v>
      </c>
      <c r="G27" s="10" t="s">
        <v>72</v>
      </c>
      <c r="H27" s="10" t="s">
        <v>73</v>
      </c>
      <c r="I27" s="10" t="s">
        <v>74</v>
      </c>
      <c r="J27" s="10" t="s">
        <v>75</v>
      </c>
    </row>
    <row r="28" spans="1:10" x14ac:dyDescent="0.25">
      <c r="A28" s="11" t="s">
        <v>9</v>
      </c>
      <c r="B28" s="12">
        <v>1</v>
      </c>
      <c r="C28" s="13">
        <v>4</v>
      </c>
      <c r="D28" s="13">
        <v>2</v>
      </c>
      <c r="E28" s="13">
        <v>3</v>
      </c>
      <c r="F28" s="13">
        <v>2</v>
      </c>
      <c r="G28" s="14">
        <f>GEOMEAN(B28:F28)</f>
        <v>2.1689435423953971</v>
      </c>
      <c r="H28" s="14">
        <f>G28/SUM($G$28:$G$32)</f>
        <v>0.38435227896905527</v>
      </c>
      <c r="I28" s="14">
        <f>B28*$H$28+C28*$H$29+D28*$H$30+E28*$H$31+F28*$H$32</f>
        <v>1.9271869011630576</v>
      </c>
      <c r="J28" s="14">
        <f>I28/H28</f>
        <v>5.0141159728058176</v>
      </c>
    </row>
    <row r="29" spans="1:10" x14ac:dyDescent="0.25">
      <c r="A29" s="11" t="s">
        <v>10</v>
      </c>
      <c r="B29" s="12">
        <f>1/C28</f>
        <v>0.25</v>
      </c>
      <c r="C29" s="12">
        <v>1</v>
      </c>
      <c r="D29" s="13">
        <f>1/3</f>
        <v>0.33333333333333331</v>
      </c>
      <c r="E29" s="13">
        <v>1</v>
      </c>
      <c r="F29" s="13">
        <f>1/2</f>
        <v>0.5</v>
      </c>
      <c r="G29" s="14">
        <f>GEOMEAN(B29:F29)</f>
        <v>0.52961192052440609</v>
      </c>
      <c r="H29" s="14">
        <f>G29/SUM($G$28:$G$32)</f>
        <v>9.3851013013424592E-2</v>
      </c>
      <c r="I29" s="14">
        <f>B29*$H$28+C29*$H$29+D29*$H$30+E29*$H$31+F29*$H$32</f>
        <v>0.47596394460115404</v>
      </c>
      <c r="J29" s="14">
        <f>I29/H29</f>
        <v>5.0714843592905217</v>
      </c>
    </row>
    <row r="30" spans="1:10" x14ac:dyDescent="0.25">
      <c r="A30" s="11" t="s">
        <v>11</v>
      </c>
      <c r="B30" s="12">
        <f>1/D28</f>
        <v>0.5</v>
      </c>
      <c r="C30" s="12">
        <f>1/D29</f>
        <v>3</v>
      </c>
      <c r="D30" s="12">
        <v>1</v>
      </c>
      <c r="E30" s="13">
        <v>2</v>
      </c>
      <c r="F30" s="13">
        <v>1</v>
      </c>
      <c r="G30" s="14">
        <f>GEOMEAN(B30:F30)</f>
        <v>1.2457309396155174</v>
      </c>
      <c r="H30" s="14">
        <f>G30/SUM($G$28:$G$32)</f>
        <v>0.22075241529555764</v>
      </c>
      <c r="I30" s="14">
        <f>B30*$H$28+C30*$H$29+D30*$H$30+E30*$H$31+F30*$H$32</f>
        <v>1.1193630406475852</v>
      </c>
      <c r="J30" s="14">
        <f>I30/H30</f>
        <v>5.0706717711283451</v>
      </c>
    </row>
    <row r="31" spans="1:10" x14ac:dyDescent="0.25">
      <c r="A31" s="11" t="s">
        <v>12</v>
      </c>
      <c r="B31" s="12">
        <f>1/E28</f>
        <v>0.33333333333333331</v>
      </c>
      <c r="C31" s="12">
        <f>1/E29</f>
        <v>1</v>
      </c>
      <c r="D31" s="12">
        <f>1/E30</f>
        <v>0.5</v>
      </c>
      <c r="E31" s="12">
        <v>1</v>
      </c>
      <c r="F31" s="13">
        <v>1</v>
      </c>
      <c r="G31" s="14">
        <f>GEOMEAN(B31:F31)</f>
        <v>0.69882711877157921</v>
      </c>
      <c r="H31" s="14">
        <f>G31/SUM($G$28:$G$32)</f>
        <v>0.12383715410526359</v>
      </c>
      <c r="I31" s="14">
        <f>B31*$H$28+C31*$H$29+D31*$H$30+E31*$H$31+F31*$H$32</f>
        <v>0.63338893970618437</v>
      </c>
      <c r="J31" s="14">
        <f>I31/H31</f>
        <v>5.1146923092870296</v>
      </c>
    </row>
    <row r="32" spans="1:10" x14ac:dyDescent="0.25">
      <c r="A32" s="11" t="s">
        <v>13</v>
      </c>
      <c r="B32" s="12">
        <f>1/F28</f>
        <v>0.5</v>
      </c>
      <c r="C32" s="12">
        <f>1/F29</f>
        <v>2</v>
      </c>
      <c r="D32" s="12">
        <f>1/F30</f>
        <v>1</v>
      </c>
      <c r="E32" s="12">
        <f>1/F31</f>
        <v>1</v>
      </c>
      <c r="F32" s="12">
        <v>1</v>
      </c>
      <c r="G32" s="14">
        <f>GEOMEAN(B32:F32)</f>
        <v>1</v>
      </c>
      <c r="H32" s="14">
        <f>G32/SUM($G$28:$G$32)</f>
        <v>0.17720713861669898</v>
      </c>
      <c r="I32" s="14">
        <f>B32*$H$28+C32*$H$29+D32*$H$30+E32*$H$31+F32*$H$32</f>
        <v>0.90167487352889708</v>
      </c>
      <c r="J32" s="14">
        <f>I32/H32</f>
        <v>5.0882536706336072</v>
      </c>
    </row>
    <row r="33" spans="1:10" x14ac:dyDescent="0.25">
      <c r="A33" s="15" t="s">
        <v>76</v>
      </c>
      <c r="B33" s="14">
        <f>AVERAGE(J28:J32)</f>
        <v>5.0718436166290646</v>
      </c>
    </row>
    <row r="34" spans="1:10" x14ac:dyDescent="0.25">
      <c r="A34" s="15" t="s">
        <v>77</v>
      </c>
      <c r="B34" s="16">
        <f>(B33-5)/(5-1)</f>
        <v>1.7960904157266144E-2</v>
      </c>
    </row>
    <row r="35" spans="1:10" ht="30" x14ac:dyDescent="0.25">
      <c r="A35" s="15" t="s">
        <v>78</v>
      </c>
      <c r="B35" s="17">
        <f>B34/'Концепции и критерии'!$C$38</f>
        <v>1.6036521568987626E-2</v>
      </c>
      <c r="C35" s="32" t="str">
        <f>IF(B35&lt;=0.1,"согласована (ОС ≤ 10%)","требует пересмотра")</f>
        <v>согласована (ОС ≤ 10%)</v>
      </c>
      <c r="D35" s="32"/>
    </row>
    <row r="37" spans="1:10" x14ac:dyDescent="0.25">
      <c r="A37" s="30" t="s">
        <v>81</v>
      </c>
      <c r="B37" s="31"/>
      <c r="C37" s="31"/>
      <c r="D37" s="31"/>
      <c r="E37" s="31"/>
      <c r="F37" s="31"/>
      <c r="G37" s="31"/>
      <c r="H37" s="31"/>
      <c r="I37" s="31"/>
      <c r="J37" s="31"/>
    </row>
    <row r="38" spans="1:10" ht="32.1" customHeight="1" x14ac:dyDescent="0.25">
      <c r="A38" s="10" t="s">
        <v>91</v>
      </c>
      <c r="B38" s="10" t="s">
        <v>9</v>
      </c>
      <c r="C38" s="10" t="s">
        <v>10</v>
      </c>
      <c r="D38" s="10" t="s">
        <v>11</v>
      </c>
      <c r="E38" s="10" t="s">
        <v>12</v>
      </c>
      <c r="F38" s="10" t="s">
        <v>13</v>
      </c>
      <c r="G38" s="10" t="s">
        <v>72</v>
      </c>
      <c r="H38" s="10" t="s">
        <v>73</v>
      </c>
      <c r="I38" s="10" t="s">
        <v>74</v>
      </c>
      <c r="J38" s="10" t="s">
        <v>75</v>
      </c>
    </row>
    <row r="39" spans="1:10" x14ac:dyDescent="0.25">
      <c r="A39" s="11" t="s">
        <v>9</v>
      </c>
      <c r="B39" s="14">
        <f t="shared" ref="B39:F43" si="0">GEOMEAN(B6,B17,B28)</f>
        <v>1</v>
      </c>
      <c r="C39" s="14">
        <f t="shared" si="0"/>
        <v>2.5198420997897464</v>
      </c>
      <c r="D39" s="14">
        <f t="shared" si="0"/>
        <v>1.2599210498948732</v>
      </c>
      <c r="E39" s="14">
        <f t="shared" si="0"/>
        <v>3.9148676411688634</v>
      </c>
      <c r="F39" s="14">
        <f t="shared" si="0"/>
        <v>1.5874010519681994</v>
      </c>
      <c r="G39" s="14">
        <f>GEOMEAN(B39:F39)</f>
        <v>1.8156163346803984</v>
      </c>
      <c r="H39" s="18">
        <f>G39/SUM($G$39:$G$43)</f>
        <v>0.3239328036912929</v>
      </c>
      <c r="I39" s="14">
        <f>B39*$H$39+C39*$H$40+D39*$H$41+E39*$H$42+F39*$H$43</f>
        <v>1.6216776090644356</v>
      </c>
      <c r="J39" s="14">
        <f>I39/H39</f>
        <v>5.0062160750162557</v>
      </c>
    </row>
    <row r="40" spans="1:10" x14ac:dyDescent="0.25">
      <c r="A40" s="11" t="s">
        <v>10</v>
      </c>
      <c r="B40" s="14">
        <f t="shared" si="0"/>
        <v>0.3968502629920499</v>
      </c>
      <c r="C40" s="14">
        <f t="shared" si="0"/>
        <v>1</v>
      </c>
      <c r="D40" s="14">
        <f t="shared" si="0"/>
        <v>0.43679023236814946</v>
      </c>
      <c r="E40" s="14">
        <f t="shared" si="0"/>
        <v>2</v>
      </c>
      <c r="F40" s="14">
        <f t="shared" si="0"/>
        <v>0.79370052598409979</v>
      </c>
      <c r="G40" s="14">
        <f>GEOMEAN(B40:F40)</f>
        <v>0.77253337489659091</v>
      </c>
      <c r="H40" s="18">
        <f>G40/SUM($G$39:$G$43)</f>
        <v>0.13783137841145304</v>
      </c>
      <c r="I40" s="14">
        <f>B40*$H$39+C40*$H$40+D40*$H$41+E40*$H$42+F40*$H$43</f>
        <v>0.69330771193690799</v>
      </c>
      <c r="J40" s="14">
        <f>I40/H40</f>
        <v>5.0301152025575178</v>
      </c>
    </row>
    <row r="41" spans="1:10" x14ac:dyDescent="0.25">
      <c r="A41" s="11" t="s">
        <v>11</v>
      </c>
      <c r="B41" s="14">
        <f t="shared" si="0"/>
        <v>0.79370052598409979</v>
      </c>
      <c r="C41" s="14">
        <f t="shared" si="0"/>
        <v>2.2894284851066637</v>
      </c>
      <c r="D41" s="14">
        <f t="shared" si="0"/>
        <v>1</v>
      </c>
      <c r="E41" s="14">
        <f t="shared" si="0"/>
        <v>3.3019272488946267</v>
      </c>
      <c r="F41" s="14">
        <f t="shared" si="0"/>
        <v>1.2599210498948732</v>
      </c>
      <c r="G41" s="14">
        <f>GEOMEAN(B41:F41)</f>
        <v>1.4986455085795669</v>
      </c>
      <c r="H41" s="18">
        <f>G41/SUM($G$39:$G$43)</f>
        <v>0.2673805209066914</v>
      </c>
      <c r="I41" s="14">
        <f>B41*$H$39+C41*$H$40+D41*$H$41+E41*$H$42+F41*$H$43</f>
        <v>1.3423767718333994</v>
      </c>
      <c r="J41" s="14">
        <f>I41/H41</f>
        <v>5.0204733212478585</v>
      </c>
    </row>
    <row r="42" spans="1:10" x14ac:dyDescent="0.25">
      <c r="A42" s="11" t="s">
        <v>12</v>
      </c>
      <c r="B42" s="14">
        <f t="shared" si="0"/>
        <v>0.2554364774645177</v>
      </c>
      <c r="C42" s="14">
        <f t="shared" si="0"/>
        <v>0.5</v>
      </c>
      <c r="D42" s="14">
        <f t="shared" si="0"/>
        <v>0.30285343213868993</v>
      </c>
      <c r="E42" s="14">
        <f t="shared" si="0"/>
        <v>1</v>
      </c>
      <c r="F42" s="14">
        <f t="shared" si="0"/>
        <v>0.43679023236814946</v>
      </c>
      <c r="G42" s="14">
        <f>GEOMEAN(B42:F42)</f>
        <v>0.44213171385767286</v>
      </c>
      <c r="H42" s="18">
        <f>G42/SUM($G$39:$G$43)</f>
        <v>7.8882836056860833E-2</v>
      </c>
      <c r="I42" s="14">
        <f>B42*$H$39+C42*$H$40+D42*$H$41+E42*$H$42+F42*$H$43</f>
        <v>0.39537158383583565</v>
      </c>
      <c r="J42" s="14">
        <f>I42/H42</f>
        <v>5.0121370325838868</v>
      </c>
    </row>
    <row r="43" spans="1:10" x14ac:dyDescent="0.25">
      <c r="A43" s="11" t="s">
        <v>13</v>
      </c>
      <c r="B43" s="14">
        <f t="shared" si="0"/>
        <v>0.6299605249474366</v>
      </c>
      <c r="C43" s="14">
        <f t="shared" si="0"/>
        <v>1.2599210498948732</v>
      </c>
      <c r="D43" s="14">
        <f t="shared" si="0"/>
        <v>0.79370052598409979</v>
      </c>
      <c r="E43" s="14">
        <f t="shared" si="0"/>
        <v>2.2894284851066637</v>
      </c>
      <c r="F43" s="14">
        <f t="shared" si="0"/>
        <v>1</v>
      </c>
      <c r="G43" s="14">
        <f>GEOMEAN(B43:F43)</f>
        <v>1.075989624725346</v>
      </c>
      <c r="H43" s="18">
        <f>G43/SUM($G$39:$G$43)</f>
        <v>0.19197246093370168</v>
      </c>
      <c r="I43" s="14">
        <f>B43*$H$39+C43*$H$40+D43*$H$41+E43*$H$42+F43*$H$43</f>
        <v>0.96251066692749876</v>
      </c>
      <c r="J43" s="14">
        <f>I43/H43</f>
        <v>5.0137955321617982</v>
      </c>
    </row>
    <row r="44" spans="1:10" x14ac:dyDescent="0.25">
      <c r="A44" s="15" t="s">
        <v>76</v>
      </c>
      <c r="B44" s="14">
        <f>AVERAGE(J39:J43)</f>
        <v>5.0165474327134634</v>
      </c>
    </row>
    <row r="45" spans="1:10" x14ac:dyDescent="0.25">
      <c r="A45" s="15" t="s">
        <v>77</v>
      </c>
      <c r="B45" s="16">
        <f>(B44-5)/(5-1)</f>
        <v>4.1368581783658431E-3</v>
      </c>
    </row>
    <row r="46" spans="1:10" ht="30" x14ac:dyDescent="0.25">
      <c r="A46" s="15" t="s">
        <v>78</v>
      </c>
      <c r="B46" s="17">
        <f>B45/'Концепции и критерии'!$C$38</f>
        <v>3.6936233735409309E-3</v>
      </c>
      <c r="C46" s="32" t="str">
        <f>IF(B46&lt;=0.1,"согласована (ОС ≤ 10%)","требует пересмотра")</f>
        <v>согласована (ОС ≤ 10%)</v>
      </c>
      <c r="D46" s="32"/>
    </row>
  </sheetData>
  <mergeCells count="10">
    <mergeCell ref="A1:J1"/>
    <mergeCell ref="A37:J37"/>
    <mergeCell ref="C46:D46"/>
    <mergeCell ref="C24:D24"/>
    <mergeCell ref="A15:J15"/>
    <mergeCell ref="A4:J4"/>
    <mergeCell ref="C13:D13"/>
    <mergeCell ref="A26:J26"/>
    <mergeCell ref="A2:J2"/>
    <mergeCell ref="C35:D35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19"/>
  <sheetViews>
    <sheetView tabSelected="1" workbookViewId="0">
      <selection activeCell="G16" sqref="G16"/>
    </sheetView>
  </sheetViews>
  <sheetFormatPr defaultColWidth="8.85546875" defaultRowHeight="15" x14ac:dyDescent="0.25"/>
  <cols>
    <col min="1" max="1" width="26" customWidth="1"/>
    <col min="2" max="2" width="15.42578125" bestFit="1" customWidth="1"/>
    <col min="3" max="4" width="13.42578125" bestFit="1" customWidth="1"/>
    <col min="5" max="5" width="14" customWidth="1"/>
    <col min="6" max="6" width="15.140625" bestFit="1" customWidth="1"/>
    <col min="7" max="29" width="14" customWidth="1"/>
  </cols>
  <sheetData>
    <row r="1" spans="1:8" ht="21.95" customHeight="1" x14ac:dyDescent="0.25">
      <c r="A1" s="27" t="s">
        <v>0</v>
      </c>
      <c r="B1" s="28"/>
      <c r="C1" s="28"/>
      <c r="D1" s="28"/>
      <c r="E1" s="28"/>
      <c r="F1" s="28"/>
      <c r="G1" s="28"/>
      <c r="H1" s="28"/>
    </row>
    <row r="3" spans="1:8" ht="32.1" customHeight="1" x14ac:dyDescent="0.25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</row>
    <row r="4" spans="1:8" x14ac:dyDescent="0.25">
      <c r="A4" s="11" t="s">
        <v>9</v>
      </c>
      <c r="B4" s="14">
        <f>Экономичность!$H$39</f>
        <v>0.36275845929951089</v>
      </c>
      <c r="C4" s="14">
        <f>Актуальность!$H$39</f>
        <v>0.22459672946201722</v>
      </c>
      <c r="D4" s="14">
        <f>'Потенциал развития'!$H$39</f>
        <v>0.19361631989880679</v>
      </c>
      <c r="E4" s="14">
        <f>'Простота реализации'!$H$39</f>
        <v>0.33755689169860703</v>
      </c>
      <c r="F4" s="14">
        <f>'Соответствие компетенциям'!$H$39</f>
        <v>0.3239328036912929</v>
      </c>
      <c r="G4" s="19">
        <f>SUMPRODUCT(B4:F4,$B$9:$F$9)</f>
        <v>0.30503729552722075</v>
      </c>
      <c r="H4" s="20">
        <f>RANK(G4,$G$4:$G$8,0)</f>
        <v>1</v>
      </c>
    </row>
    <row r="5" spans="1:8" x14ac:dyDescent="0.25">
      <c r="A5" s="11" t="s">
        <v>10</v>
      </c>
      <c r="B5" s="14">
        <f>Экономичность!$H$40</f>
        <v>7.9284349261950909E-2</v>
      </c>
      <c r="C5" s="14">
        <f>Актуальность!$H$40</f>
        <v>0.27019548856496867</v>
      </c>
      <c r="D5" s="14">
        <f>'Потенциал развития'!$H$40</f>
        <v>0.31195309045979724</v>
      </c>
      <c r="E5" s="14">
        <f>'Простота реализации'!$H$40</f>
        <v>9.3303537053282842E-2</v>
      </c>
      <c r="F5" s="14">
        <f>'Соответствие компетенциям'!$H$40</f>
        <v>0.13783137841145304</v>
      </c>
      <c r="G5" s="19">
        <f>SUMPRODUCT(B5:F5,$B$9:$F$9)</f>
        <v>0.15551512818094224</v>
      </c>
      <c r="H5" s="20">
        <f>RANK(G5,$G$4:$G$8,0)</f>
        <v>4</v>
      </c>
    </row>
    <row r="6" spans="1:8" x14ac:dyDescent="0.25">
      <c r="A6" s="11" t="s">
        <v>11</v>
      </c>
      <c r="B6" s="14">
        <f>Экономичность!$H$41</f>
        <v>0.21330025902933911</v>
      </c>
      <c r="C6" s="14">
        <f>Актуальность!$H$41</f>
        <v>0.24166375064837595</v>
      </c>
      <c r="D6" s="14">
        <f>'Потенциал развития'!$H$41</f>
        <v>9.8333076741179568E-2</v>
      </c>
      <c r="E6" s="14">
        <f>'Простота реализации'!$H$41</f>
        <v>0.21506978270398647</v>
      </c>
      <c r="F6" s="14">
        <f>'Соответствие компетенциям'!$H$41</f>
        <v>0.2673805209066914</v>
      </c>
      <c r="G6" s="19">
        <f>SUMPRODUCT(B6:F6,$B$9:$F$9)</f>
        <v>0.21822046746682908</v>
      </c>
      <c r="H6" s="20">
        <f>RANK(G6,$G$4:$G$8,0)</f>
        <v>2</v>
      </c>
    </row>
    <row r="7" spans="1:8" x14ac:dyDescent="0.25">
      <c r="A7" s="11" t="s">
        <v>12</v>
      </c>
      <c r="B7" s="14">
        <f>Экономичность!$H$42</f>
        <v>6.0986840571057375E-2</v>
      </c>
      <c r="C7" s="14">
        <f>Актуальность!$H$42</f>
        <v>0.18171440026434726</v>
      </c>
      <c r="D7" s="14">
        <f>'Потенциал развития'!$H$42</f>
        <v>0.28441464794743287</v>
      </c>
      <c r="E7" s="14">
        <f>'Простота реализации'!$H$42</f>
        <v>5.7581795841068359E-2</v>
      </c>
      <c r="F7" s="14">
        <f>'Соответствие компетенциям'!$H$42</f>
        <v>7.8882836056860833E-2</v>
      </c>
      <c r="G7" s="19">
        <f>SUMPRODUCT(B7:F7,$B$9:$F$9)</f>
        <v>0.11066405586494253</v>
      </c>
      <c r="H7" s="20">
        <f>RANK(G7,$G$4:$G$8,0)</f>
        <v>5</v>
      </c>
    </row>
    <row r="8" spans="1:8" x14ac:dyDescent="0.25">
      <c r="A8" s="11" t="s">
        <v>13</v>
      </c>
      <c r="B8" s="14">
        <f>Экономичность!$H$43</f>
        <v>0.28367009183814157</v>
      </c>
      <c r="C8" s="14">
        <f>Актуальность!$H$43</f>
        <v>8.1829631060290911E-2</v>
      </c>
      <c r="D8" s="14">
        <f>'Потенциал развития'!$H$43</f>
        <v>0.11168286495278347</v>
      </c>
      <c r="E8" s="14">
        <f>'Простота реализации'!$H$43</f>
        <v>0.29648799270305526</v>
      </c>
      <c r="F8" s="14">
        <f>'Соответствие компетенциям'!$H$43</f>
        <v>0.19197246093370168</v>
      </c>
      <c r="G8" s="19">
        <f>SUMPRODUCT(B8:F8,$B$9:$F$9)</f>
        <v>0.21056305296006525</v>
      </c>
      <c r="H8" s="20">
        <f>RANK(G8,$G$4:$G$8,0)</f>
        <v>3</v>
      </c>
    </row>
    <row r="9" spans="1:8" x14ac:dyDescent="0.25">
      <c r="A9" s="15" t="s">
        <v>14</v>
      </c>
      <c r="B9" s="21">
        <f>Критерии!$H$39</f>
        <v>0.27198522275616566</v>
      </c>
      <c r="C9" s="21">
        <f>Критерии!$H$40</f>
        <v>0.18291804906290138</v>
      </c>
      <c r="D9" s="21">
        <f>Критерии!$H$41</f>
        <v>0.10916692124549435</v>
      </c>
      <c r="E9" s="21">
        <f>Критерии!$H$42</f>
        <v>0.21587481436147124</v>
      </c>
      <c r="F9" s="21">
        <f>Критерии!$H$43</f>
        <v>0.2200549925739673</v>
      </c>
      <c r="G9" s="22">
        <f>SUM(G4:G8)</f>
        <v>0.99999999999999989</v>
      </c>
      <c r="H9" s="23"/>
    </row>
    <row r="10" spans="1:8" x14ac:dyDescent="0.25">
      <c r="A10" s="24" t="s">
        <v>15</v>
      </c>
      <c r="B10" s="33" t="str">
        <f>INDEX($A$4:$A$8,MATCH(MAX($G$4:$G$8),$G$4:$G$8,0))</f>
        <v>Сплит</v>
      </c>
      <c r="C10" s="34"/>
      <c r="D10" s="34"/>
      <c r="E10" s="34"/>
      <c r="F10" s="34"/>
      <c r="G10" s="34"/>
      <c r="H10" s="34"/>
    </row>
    <row r="12" spans="1:8" ht="21.95" customHeight="1" x14ac:dyDescent="0.25">
      <c r="A12" s="27" t="s">
        <v>16</v>
      </c>
      <c r="B12" s="28"/>
      <c r="C12" s="28"/>
      <c r="D12" s="28"/>
      <c r="E12" s="28"/>
      <c r="F12" s="28"/>
      <c r="G12" s="28"/>
      <c r="H12" s="28"/>
    </row>
    <row r="13" spans="1:8" x14ac:dyDescent="0.25">
      <c r="A13" s="1" t="s">
        <v>17</v>
      </c>
      <c r="B13" s="1" t="s">
        <v>18</v>
      </c>
      <c r="C13" s="1" t="s">
        <v>19</v>
      </c>
      <c r="D13" s="1" t="s">
        <v>20</v>
      </c>
      <c r="E13" s="1" t="s">
        <v>21</v>
      </c>
    </row>
    <row r="14" spans="1:8" x14ac:dyDescent="0.25">
      <c r="A14" s="11" t="s">
        <v>22</v>
      </c>
      <c r="B14" s="25">
        <f>Критерии!$B$13</f>
        <v>6.6554090114352107E-2</v>
      </c>
      <c r="C14" s="25">
        <f>Критерии!$B$24</f>
        <v>3.0509581274230722E-2</v>
      </c>
      <c r="D14" s="25">
        <f>Критерии!$B$35</f>
        <v>1.7418420249546665E-2</v>
      </c>
      <c r="E14" s="26">
        <f>Критерии!$B$46</f>
        <v>1.0551964106518937E-2</v>
      </c>
    </row>
    <row r="15" spans="1:8" ht="30" x14ac:dyDescent="0.25">
      <c r="A15" s="11" t="s">
        <v>23</v>
      </c>
      <c r="B15" s="25">
        <f>Экономичность!$B$13</f>
        <v>1.5965070960585748E-2</v>
      </c>
      <c r="C15" s="25">
        <f>Экономичность!$B$24</f>
        <v>1.2322048137412236E-2</v>
      </c>
      <c r="D15" s="25">
        <f>Экономичность!$B$35</f>
        <v>1.8753253260919499E-2</v>
      </c>
      <c r="E15" s="26">
        <f>Экономичность!$B$46</f>
        <v>8.942462917647347E-3</v>
      </c>
    </row>
    <row r="16" spans="1:8" ht="30" x14ac:dyDescent="0.25">
      <c r="A16" s="11" t="s">
        <v>24</v>
      </c>
      <c r="B16" s="25">
        <f>Актуальность!$B$13</f>
        <v>2.0943725397746485E-2</v>
      </c>
      <c r="C16" s="25">
        <f>Актуальность!$B$24</f>
        <v>2.1749605933575809E-2</v>
      </c>
      <c r="D16" s="25">
        <f>Актуальность!$B$35</f>
        <v>1.2989465698919463E-2</v>
      </c>
      <c r="E16" s="26">
        <f>Актуальность!$B$46</f>
        <v>4.1710569657393039E-3</v>
      </c>
    </row>
    <row r="17" spans="1:5" ht="30" x14ac:dyDescent="0.25">
      <c r="A17" s="11" t="s">
        <v>25</v>
      </c>
      <c r="B17" s="25">
        <f>'Потенциал развития'!$B$13</f>
        <v>2.0484674395443037E-2</v>
      </c>
      <c r="C17" s="25">
        <f>'Потенциал развития'!$B$24</f>
        <v>1.716164674107603E-2</v>
      </c>
      <c r="D17" s="25">
        <f>'Потенциал развития'!$B$35</f>
        <v>1.8905874915857431E-2</v>
      </c>
      <c r="E17" s="26">
        <f>'Потенциал развития'!$B$46</f>
        <v>7.8381678509798318E-3</v>
      </c>
    </row>
    <row r="18" spans="1:5" ht="30" x14ac:dyDescent="0.25">
      <c r="A18" s="11" t="s">
        <v>26</v>
      </c>
      <c r="B18" s="25">
        <f>'Простота реализации'!$B$13</f>
        <v>1.0464447249041085E-2</v>
      </c>
      <c r="C18" s="25">
        <f>'Простота реализации'!$B$24</f>
        <v>1.3843254456562457E-2</v>
      </c>
      <c r="D18" s="25">
        <f>'Простота реализации'!$B$35</f>
        <v>1.3096703436529402E-2</v>
      </c>
      <c r="E18" s="26">
        <f>'Простота реализации'!$B$46</f>
        <v>5.0858821356735452E-3</v>
      </c>
    </row>
    <row r="19" spans="1:5" ht="45" x14ac:dyDescent="0.25">
      <c r="A19" s="11" t="s">
        <v>27</v>
      </c>
      <c r="B19" s="25">
        <f>'Соответствие компетенциям'!$B$13</f>
        <v>3.7282413708687928E-2</v>
      </c>
      <c r="C19" s="25">
        <f>'Соответствие компетенциям'!$B$24</f>
        <v>1.9374352107779814E-2</v>
      </c>
      <c r="D19" s="25">
        <f>'Соответствие компетенциям'!$B$35</f>
        <v>1.6036521568987626E-2</v>
      </c>
      <c r="E19" s="26">
        <f>'Соответствие компетенциям'!$B$46</f>
        <v>3.6936233735409309E-3</v>
      </c>
    </row>
  </sheetData>
  <mergeCells count="3">
    <mergeCell ref="A12:H12"/>
    <mergeCell ref="B10:H10"/>
    <mergeCell ref="A1:H1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Концепции и критерии</vt:lpstr>
      <vt:lpstr>Критерии</vt:lpstr>
      <vt:lpstr>Экономичность</vt:lpstr>
      <vt:lpstr>Актуальность</vt:lpstr>
      <vt:lpstr>Потенциал развития</vt:lpstr>
      <vt:lpstr>Простота реализации</vt:lpstr>
      <vt:lpstr>Соответствие компетенциям</vt:lpstr>
      <vt:lpstr>Итог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TheRealForceX</cp:lastModifiedBy>
  <dcterms:created xsi:type="dcterms:W3CDTF">2026-10-26T17:51:18Z</dcterms:created>
  <dcterms:modified xsi:type="dcterms:W3CDTF">2026-10-27T09:51:01Z</dcterms:modified>
</cp:coreProperties>
</file>